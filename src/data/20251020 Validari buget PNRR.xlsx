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biroul 33\Desktop\"/>
    </mc:Choice>
  </mc:AlternateContent>
  <xr:revisionPtr revIDLastSave="0" documentId="13_ncr:1_{FCF4C1AE-1384-433C-AB40-E16F8D45E654}" xr6:coauthVersionLast="47" xr6:coauthVersionMax="47" xr10:uidLastSave="{00000000-0000-0000-0000-000000000000}"/>
  <bookViews>
    <workbookView xWindow="-98" yWindow="-98" windowWidth="24196" windowHeight="13096" activeTab="2" xr2:uid="{A2C3E1C3-CB96-489E-A1E9-8FBB556403D3}"/>
  </bookViews>
  <sheets>
    <sheet name="BUGET_PNRR_20251006" sheetId="4" r:id="rId1"/>
    <sheet name="StatusPNRR" sheetId="5" r:id="rId2"/>
    <sheet name="Dashboard" sheetId="6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6" l="1"/>
  <c r="C18" i="6"/>
  <c r="E18" i="6" s="1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F150" i="5"/>
  <c r="H149" i="4"/>
  <c r="F149" i="5"/>
  <c r="F148" i="5"/>
  <c r="H148" i="4"/>
</calcChain>
</file>

<file path=xl/sharedStrings.xml><?xml version="1.0" encoding="utf-8"?>
<sst xmlns="http://schemas.openxmlformats.org/spreadsheetml/2006/main" count="1518" uniqueCount="344">
  <si>
    <t>C1</t>
  </si>
  <si>
    <t>I1</t>
  </si>
  <si>
    <t>I1. Extinderea sistemelor de apă și canalizare în aglomerări mai mari de 2000 de locuitori echivalenți</t>
  </si>
  <si>
    <t>loan</t>
  </si>
  <si>
    <t>MMAP</t>
  </si>
  <si>
    <t>I2</t>
  </si>
  <si>
    <t xml:space="preserve">I2. Colectarea apelor uzate în aglomerări mai mici de 2.000 de locuitori echivalenți, care împiedică atingerea unei stări bune a corpurilor de apă și/sau afectează arii naturale protejate </t>
  </si>
  <si>
    <t>I4</t>
  </si>
  <si>
    <t>I4. Adaptarea la schimbările climatice prin automatizarea și digitalizarea echipamentelor de evacuare și stocare a apei la acumulări existente pentru asigurarea debitului ecologic și creșterea siguranței alimentării cu apă a populației și reducerea riscului la inundații.</t>
  </si>
  <si>
    <t>I5</t>
  </si>
  <si>
    <t xml:space="preserve">I5. Dotarea adecvată a administrațiilor bazinale pentru monitorizarea infrastructurii, prevenirea și gestionarea situațiilor de urgență </t>
  </si>
  <si>
    <t>I6</t>
  </si>
  <si>
    <t>I6. Realizarea cadastrului apelor</t>
  </si>
  <si>
    <t>grant</t>
  </si>
  <si>
    <t>C2</t>
  </si>
  <si>
    <t xml:space="preserve">I1. Campania națională de împădurire și reîmpădurire, inclusiv păduri urbane </t>
  </si>
  <si>
    <t xml:space="preserve">I2. Dezvoltarea de capacități moderne de producere a materialului forestier de reproducere </t>
  </si>
  <si>
    <t>I3</t>
  </si>
  <si>
    <t>I3. Actualizarea planurilor de management aprobate și identificarea zonelor potențiale de protecție strictă în habitate naturale terestre și marine în vederea punerii în aplicare a Strategiei UE privind biodiversitatea pentru 2030</t>
  </si>
  <si>
    <t xml:space="preserve">I4. Investiții integrate de reconstrucție ecologică a habitatelor și conservarea speciilor aferente pajiștilor, zonelor acvatice și dependente de apă </t>
  </si>
  <si>
    <t xml:space="preserve">I5. Sisteme integrate de reducere a riscurilor generate de viituri torențiale în bazinete forestiere expuse unor astfel de fenomene </t>
  </si>
  <si>
    <t>C3</t>
  </si>
  <si>
    <t xml:space="preserve">I1. Dezvoltarea, modernizarea și completarea sistemelor de management integrat al deșeurilor municipale la nivel de județ sau la nivel de orașe/comune </t>
  </si>
  <si>
    <t xml:space="preserve">I2. Dezvoltarea infrastructurii pentru managementul gunoiului de grajd și al altor deșeuri agricole compostabile </t>
  </si>
  <si>
    <t xml:space="preserve">I3. Dezvoltarea capacităților instituționale de monitorizare publică și control pentru gestionarea deșeurilor și prevenirea poluării </t>
  </si>
  <si>
    <t>C4</t>
  </si>
  <si>
    <t xml:space="preserve">I1. Modernizarea și reînnoirea infrastructurii feroviare </t>
  </si>
  <si>
    <t>MTI</t>
  </si>
  <si>
    <t>I2. Material rulant feroviar</t>
  </si>
  <si>
    <t>I3.  Dezvoltarea infrastructurii rutiere durabile aferente rețelei TEN-T, taxarea drumurilor, managementul traficului și siguranța rutieră</t>
  </si>
  <si>
    <t>I3.  Dezvoltarea infrastructurii rutiere durabile aferente rețelei TEN-T, taxarea drumurilor, managementul traficului și siguranța rutieră - 5 loturi A7 si Infrastructura aferentă operaționalizării sistemelor de trafic inteligent – centru de management al traficului, sisteme de informare a utilizatorilor, interoperabilitatea sistemelor de transport</t>
  </si>
  <si>
    <t>C5</t>
  </si>
  <si>
    <t xml:space="preserve">I1. Instituirea unui fond pentru Valul Renovării care să finanțeze lucrări de îmbunătățire a eficienței energetice a fondului construit </t>
  </si>
  <si>
    <t>MDLPA</t>
  </si>
  <si>
    <t xml:space="preserve">I2. Implementarea Registrului național al clădirilor </t>
  </si>
  <si>
    <t>I4. Economie circulară și creșterea eficienței energetice a clădirilor istorice</t>
  </si>
  <si>
    <t>MC</t>
  </si>
  <si>
    <t>C6</t>
  </si>
  <si>
    <t xml:space="preserve">I2. Capacitățile de producție a hidrogenului verde care să fie utilizat pentru stocarea energiei electrice și/sau pentru decarbonizarea industriei </t>
  </si>
  <si>
    <t xml:space="preserve">I3. Dezvoltarea unei producții combinate de energie termică și energie electrică (CHP) pe gaz flexibile și de înaltă eficiență în sectorul încălzirii centralizate, în vederea atingerii unei decarbonizări adânci </t>
  </si>
  <si>
    <t xml:space="preserve">I4. Lanț industrial de producție și/sau asamblare și/sau reciclare a bateriilor, a celulelor și panourilor fotovoltaice (inclusiv echipamente auxiliare) și noi capacități de stocare a energiei electrice </t>
  </si>
  <si>
    <t xml:space="preserve">I5. Asigurarea eficienței energetice în sectorul industrial </t>
  </si>
  <si>
    <t>C7</t>
  </si>
  <si>
    <t xml:space="preserve">I1. Implementarea infrastructurii de cloud guvernamental </t>
  </si>
  <si>
    <t>MEDAT</t>
  </si>
  <si>
    <t xml:space="preserve">I2. Dezvoltarea cloudului și migrarea în cloud. </t>
  </si>
  <si>
    <t xml:space="preserve">I3. Realizarea sistemului de eHealth și telemedicină  - I3.1 Redimensionare, standardizare și optimizare a Platformei informatice din asigurările de sănătate (PIAS) </t>
  </si>
  <si>
    <t>MS</t>
  </si>
  <si>
    <t xml:space="preserve">I3. Realizarea sistemului de eHealth și telemedicină - I3.2. Digitalizarea instituțiilor cu atribuții în domeniul sanitar aflate în subordinea MS </t>
  </si>
  <si>
    <t xml:space="preserve">I3. Realizarea sistemului de eHealth și telemedicină - I3.3  Digitalizarea a 200 de unități sanitare publice </t>
  </si>
  <si>
    <t xml:space="preserve">I4. Digitalizarea sistemului judiciar </t>
  </si>
  <si>
    <t>MJ</t>
  </si>
  <si>
    <t xml:space="preserve">I5. Digitalizare în domeniul mediului </t>
  </si>
  <si>
    <t xml:space="preserve">I6. Digitalizarea în domeniul muncii și protecției sociale </t>
  </si>
  <si>
    <t>MMFTSS</t>
  </si>
  <si>
    <t>I7</t>
  </si>
  <si>
    <t>I7. Implementarea formularelor electronice eForms în domeniul achizițiilor publice</t>
  </si>
  <si>
    <t>ANAP</t>
  </si>
  <si>
    <t>I8</t>
  </si>
  <si>
    <t>I8. Cartea de identitate electronică și semnătura digitală</t>
  </si>
  <si>
    <t>MAI</t>
  </si>
  <si>
    <t>I9</t>
  </si>
  <si>
    <t xml:space="preserve">I9. Digitalizarea sectorului organizațiilor neguvernamentale </t>
  </si>
  <si>
    <t>MIPE</t>
  </si>
  <si>
    <t>I10</t>
  </si>
  <si>
    <t xml:space="preserve">I10. Transformarea digitală în managementul funcției publice </t>
  </si>
  <si>
    <t>ANFP</t>
  </si>
  <si>
    <t>I11</t>
  </si>
  <si>
    <t xml:space="preserve">I11. Implementarea unei scheme de sprijinire a utilizării serviciilor de comunicații prin diferite tipuri de instrumente pentru beneficiari, cu accent pe zonele albe </t>
  </si>
  <si>
    <t>I12</t>
  </si>
  <si>
    <t xml:space="preserve">I12. Asigurarea protecției cibernetice atât pentru infrastructurile TIC publice, cât și pentru cele private cu valențe critic e pentru securitatea națională, prin utilizarea tehnologiilor inteligente </t>
  </si>
  <si>
    <t>I13</t>
  </si>
  <si>
    <t xml:space="preserve">I13. Dezvoltarea sistemelor de securitate pentru protecția spectrului guvernamental </t>
  </si>
  <si>
    <t>I14</t>
  </si>
  <si>
    <t xml:space="preserve">I14. Sporirea rezilienței și a securității cibernetice a serviciilor de infrastructură ale furnizorilor de servicii de internet pentru autoritățile publice din România </t>
  </si>
  <si>
    <t>I15</t>
  </si>
  <si>
    <t>I15. Crearea de noi competențe de securitate cibernetică pentru societate și economie</t>
  </si>
  <si>
    <t>I16</t>
  </si>
  <si>
    <t xml:space="preserve">I16. Program de formare de competențe digitale avansate pentru funcționarii publici </t>
  </si>
  <si>
    <t>I17</t>
  </si>
  <si>
    <t>I17. Scheme de finanțare pentru biblioteci pentru a deveni hub-uri de dezvoltare a competențelor digitale</t>
  </si>
  <si>
    <t>I18</t>
  </si>
  <si>
    <t>I18. Transformarea digitală și adoptarea tehnologiei de automatizare a proceselor de lucru robotice în administrația publică.</t>
  </si>
  <si>
    <t>I19</t>
  </si>
  <si>
    <t xml:space="preserve">I19. Scheme dedicate perfecționării/recalificării angajaților din firme </t>
  </si>
  <si>
    <t>C8</t>
  </si>
  <si>
    <t xml:space="preserve">I1. Creșterea conformării voluntare a contribuabililor prin dezvoltarea serviciilor digitale </t>
  </si>
  <si>
    <t>MF</t>
  </si>
  <si>
    <t xml:space="preserve">I2. Îmbunătățirea proceselor de administrare a impozitelor și taxelor, inclusiv prin implementarea managementului integrat al riscurilor </t>
  </si>
  <si>
    <t xml:space="preserve">I3. Asigurarea capacității de răspuns la provocările informaționale actuale și viitoare, inclusiv în contextul pandemiei, prin transformarea digitală a Ministerului de Finanțe/Agenției Naționale de Administrare Fiscală </t>
  </si>
  <si>
    <t xml:space="preserve">I4. Implementarea vămii electronice </t>
  </si>
  <si>
    <t xml:space="preserve">I5. Îmbunătățirea mecanismului de programare bugetară </t>
  </si>
  <si>
    <t xml:space="preserve">I6. Instrument de modelare economică (set de instrumente de simulare privind opțiunile de reformă a pensiilor) pentru îmbunătățirea capacității instituționale de a prognoza cheltuielile cu pensiile </t>
  </si>
  <si>
    <t xml:space="preserve">I7. Asistență tehnică pentru revizuirea cadrului fiscal </t>
  </si>
  <si>
    <t xml:space="preserve">I8. Operaționalizarea Băncii Naționale de Dezvoltare </t>
  </si>
  <si>
    <t xml:space="preserve">I9. Susținerea procesului de evaluare a dosarelor de pensii aflate în plată </t>
  </si>
  <si>
    <t xml:space="preserve">I10. Eficiență operațională și servicii electronice avansate pentru sistemul național de pensii prin digitalizare. </t>
  </si>
  <si>
    <t>I11. Capitalizare BID</t>
  </si>
  <si>
    <t>C9</t>
  </si>
  <si>
    <t xml:space="preserve">I1. Platforme digitale privind transparentizarea legislativă, debirocratizarea și simplificarea procedurală destinate mediului de afaceri </t>
  </si>
  <si>
    <t xml:space="preserve">I2. Instrumente financiare pentru sectorul privat </t>
  </si>
  <si>
    <t>I2. Instrumente financiare pentru sectorul privat</t>
  </si>
  <si>
    <t>I3. Scheme de ajutor pentru sectorul privat</t>
  </si>
  <si>
    <t xml:space="preserve">I4. Proiecte transfrontaliere și multinaționale – Procesoare cu consum redus de energie și cipuri semiconductoare </t>
  </si>
  <si>
    <t xml:space="preserve">I5. Înființarea și operaționalizarea centrelor de competență </t>
  </si>
  <si>
    <t>ANC</t>
  </si>
  <si>
    <t>I8. Dezvoltarea unui program pentru atragerea resurselor umane înalt specializate din străinătate pentru activități de cercetare, dezvoltare, inovare (T284)</t>
  </si>
  <si>
    <t>I9. Program de sprijin pentru posesorii de certificate de excelență primite la competiția pentru burse individuale Marie Sklodowska Curie (T285)</t>
  </si>
  <si>
    <t xml:space="preserve">I10. Înființarea și susținerea financiară a unei rețele naționale de (8) opt centre regionale de orientare în carieră ca parte a ERA TALENT PLATFORM </t>
  </si>
  <si>
    <t>C10</t>
  </si>
  <si>
    <t xml:space="preserve">I1. Mobilitate urbană durabilă </t>
  </si>
  <si>
    <t xml:space="preserve">I2. Construcția de locuințe pentru tineri / locuințe pentru specialiști în sănătate și educație </t>
  </si>
  <si>
    <t xml:space="preserve">I3. Reabilitarea moderată a clădirilor publice pentru a îmbunătăți furnizarea de servicii publice de către unitățile administrativ-teritoriale </t>
  </si>
  <si>
    <t xml:space="preserve">I4. Elaborarea / actualizarea în format GIS a documentelor de amenajare a teritoriului și de urbanism </t>
  </si>
  <si>
    <t>C11</t>
  </si>
  <si>
    <t xml:space="preserve">I1. Promovarea celor 12 rute turistice/culturale </t>
  </si>
  <si>
    <t xml:space="preserve">I2. Modernizarea/crearea de muzee și memoriale </t>
  </si>
  <si>
    <t xml:space="preserve">I3. Înființarea și operaționalizarea Centrului Național de Coordonare Velo </t>
  </si>
  <si>
    <t xml:space="preserve">I4. Implementarea a 2404 km de piste pentru biciclete </t>
  </si>
  <si>
    <t xml:space="preserve">I5. Sporirea accesului la cultură în zonele defavorizate din punct de vedere cultural </t>
  </si>
  <si>
    <t>I6. Dezvoltarea unui sistem digital pentru procesele de finanțare a culturii</t>
  </si>
  <si>
    <t>I7. Accelerarea digitalizării producției și distribuției de filme</t>
  </si>
  <si>
    <t>C12</t>
  </si>
  <si>
    <t>I1. Dezvoltarea infrastructurii medicale prespitalicești  -  I1.1 - Cabinete ale medicilor de familie sau asocieri de cabinete de asistență medicală primară – 2000 unități</t>
  </si>
  <si>
    <t>I1. Dezvoltarea infrastructurii medicale prespitalicești  - I1.3 – Unități de asistență medicală ambulatorie – 30 unități</t>
  </si>
  <si>
    <t>I1. Dezvoltarea infrastructurii medicale prespitalicești  - I1.4 – Centre comunitare integrate (nou-construite/renovate și dotate, inclusiv cu personal adecvat) – 200 unități</t>
  </si>
  <si>
    <t xml:space="preserve">I1. Dezvoltarea infrastructurii medicale prespitalicești - I1.5 – Cabinete de planificare familială </t>
  </si>
  <si>
    <t>a</t>
  </si>
  <si>
    <t xml:space="preserve">I2. Dezvoltarea infrastructurii spitalicești publice - I2.1 Dezvoltarea infrastructurii spitalicești publice (19 spitale) si I2.2 Echipamente și aparatură medicală </t>
  </si>
  <si>
    <t>b</t>
  </si>
  <si>
    <t xml:space="preserve">I2. Dezvoltarea infrastructurii spitalicești publice - I2.3- Dezvoltarea infrastructurii spitalicești publice (25 Unități de terapie intensivă pentru nou-născuți dotate, inclusiv cu ambulanțe pentru nou-născuți (pentru centrele regionale)  (T376) </t>
  </si>
  <si>
    <t>I2. Dezvoltarea infrastructurii spitalicești publice - I2.4 Echipamente și materiale destinate reducerii riscului de infecții nosocomiale</t>
  </si>
  <si>
    <t>I4. Modernizarea asistenței medicale de urgență (Achiziționarea de noi ambulanțe)</t>
  </si>
  <si>
    <t>C13</t>
  </si>
  <si>
    <t xml:space="preserve">I1. Crearea unei rețele de centre de zi pentru copiii expuși riscului de a fi separați de familie </t>
  </si>
  <si>
    <t>I2. Reabilitarea, renovarea și dezvoltarea infrastructurii sociale pentru persoanele cu dizabilități</t>
  </si>
  <si>
    <t xml:space="preserve">I3. Operaționalizarea introducerii tichetelor de muncă pentru activitățile casnice </t>
  </si>
  <si>
    <t xml:space="preserve">I4. Crearea unei rețele de centre de îngrijire de zi și de reabilitare pentru persoanele în vârstă </t>
  </si>
  <si>
    <t>C14</t>
  </si>
  <si>
    <t>I5.  Monitorizarea și implementarea planului</t>
  </si>
  <si>
    <t>C15</t>
  </si>
  <si>
    <t>I1. Construirea, echiparea și operaționalizarea a unui număr de 110 de creșe</t>
  </si>
  <si>
    <t xml:space="preserve">I2: Înființarea, echiparea și operaționalizarea unui număr de 90 servicii 
complementare pentru grupurile dezavantajate </t>
  </si>
  <si>
    <t>MEC</t>
  </si>
  <si>
    <t>I3.Dezvoltarea programului cadru pentru formarea continuă a profesioniștilor care lucrează în servicii de educație timpurii</t>
  </si>
  <si>
    <t xml:space="preserve">I4: Sprijinirea unităților de învățământ cu risc crescut de abandon școlar </t>
  </si>
  <si>
    <t xml:space="preserve">I5: Instruiri pentru utilizatorii (SIIIR) și (MATE) și intervenții sistemice pentru reducerea abandonului școlar </t>
  </si>
  <si>
    <t xml:space="preserve">I6: Dezvoltarea a 10 consorții regionale și dezvoltarea și dotarea a 10 campusuri profesionale </t>
  </si>
  <si>
    <t xml:space="preserve">I8: Program de formare continuă a personalului didactic </t>
  </si>
  <si>
    <t>I9: Asigurarea echipamentelor și resurselor tehnologice digitale pentru școli</t>
  </si>
  <si>
    <t>I10: Dezvoltarea rețelei de școli verzi și achiziționarea de microbuze verzi</t>
  </si>
  <si>
    <t>I11: Asigurarea dotărilor sălilor de clasa și a laboratoarelor/cabinetelor școlare din sistemul preuniversitar</t>
  </si>
  <si>
    <t xml:space="preserve">I13: Echiparea laboratoarelor de informatică din unitățile de învățământ profesional și tehnic </t>
  </si>
  <si>
    <t xml:space="preserve">I14: Echiparea atelierelor de practică din unitățile de învățământ profesional și tehnic  </t>
  </si>
  <si>
    <t xml:space="preserve">I16: Digitalizarea universităților și pregătirea acestora pentru profesiile digitale ale viitorului </t>
  </si>
  <si>
    <t xml:space="preserve">I17: Asigurarea infrastructurii universitare (cămine, cantine, spații de recreere) </t>
  </si>
  <si>
    <t xml:space="preserve">I18: Program de instruire și mentorat pentru manageri și inspectori școlari </t>
  </si>
  <si>
    <t>C16</t>
  </si>
  <si>
    <t>I2. Capacități de producție de energie electrică din surse regenerabile*</t>
  </si>
  <si>
    <t xml:space="preserve">I4. Schemă de acordare a voucherelor pentru accelerarea instalării de capacități de energie regenerabilă în cadrul gospodăriilor individuale </t>
  </si>
  <si>
    <t xml:space="preserve">I5. Eficientizarea, modernizarea și digitalizarea rețelei naționale de transport a energiei electrice 
Subinvestiția 5.a - Instalarea de centrale fotovoltaice (CEF) și instalații de stocare a energiei electrice destinate alimentării serviciilor interne instalate în stațiile C.N.T.E.E. Transelectrica S.A </t>
  </si>
  <si>
    <t>SGG</t>
  </si>
  <si>
    <t>I5. Eficientizarea, modernizarea și digitalizarea rețelei naționale de transport a energiei electrice 
Subinvestiția 5.b - Retehnologizarea SMART SA – filiala C.N.T.E.E. Transelectrica S.A</t>
  </si>
  <si>
    <t>c</t>
  </si>
  <si>
    <t>I5. Eficientizarea, modernizarea și digitalizarea rețelei naționale de transport a energiei electrice 
Subinvestiția 5.c - Optimizarea rețelei de comunicații și crearea unui centru de date – Teletrans SA, filiala C.N.T.E.E. Transelectrica S.A</t>
  </si>
  <si>
    <t xml:space="preserve">I7. Schemă de acordare de vouchere pentru îmbunătățirea eficienței energetice în cadrul gospodăriilor individuale </t>
  </si>
  <si>
    <t>I8. Contribuția la schema de ajutor de stat sub formă de contracte pentru diferență pentru producerea de energie electrică din surse regenerabile din energie eoliană terestră și energie solară fotovoltaică</t>
  </si>
  <si>
    <t>R2</t>
  </si>
  <si>
    <t>R2. Reconfigurarea actualului mecanism economic al ANAR în vederea asigurării modernizării și întreținerii sistemului național de gospodărire a apelor, precum și a implementării corespunzătoare a Directivei-cadru privind apa și a Directivei privind inundațiile</t>
  </si>
  <si>
    <t>R1</t>
  </si>
  <si>
    <t>R1. Reforma sistemului de management și a celui privind guvernanța în domeniul forestier prin dezvoltarea unei noi Strategii forestiere naționale și a legislației subsecvente</t>
  </si>
  <si>
    <t>R1. Transport sustenabil, decarbonizare și siguranță rutieră /Decarbonizarea rutieră în conformitate cu principiul „poluatorul plătește”</t>
  </si>
  <si>
    <t>R2. Management performant pentru transport de calitate - Îmbunătățirea capacității instituționale de management și guvernanță corporativă</t>
  </si>
  <si>
    <t>R1. Realizarea unui cadru normativ simplificat și actualizat care să sprijine implementarea investițiilor în tranziția spre clădiri verzi și reziliente</t>
  </si>
  <si>
    <t>R4</t>
  </si>
  <si>
    <t>R4. Dezvoltarea unui cadru legislativ și de reglementare favorabil tehnologiilor viitorului, în special hidrogen și soluții de stocare</t>
  </si>
  <si>
    <t>MENERGIEI</t>
  </si>
  <si>
    <t>R1. Dezvoltarea unui cadru unitar pentru definirea arhitecturii unui sistem de tip cloud guvernamental</t>
  </si>
  <si>
    <t>R6</t>
  </si>
  <si>
    <t>R6. Rsistemului public de pensii</t>
  </si>
  <si>
    <t>R2. Raționalizarea guvernanței în domeniul cercetării, dezvoltării și inovării</t>
  </si>
  <si>
    <t>R1. Operaționalizarea organizațiilor de management al destinației (OMD-uri)</t>
  </si>
  <si>
    <t>R3</t>
  </si>
  <si>
    <t>R3. Reformarea sistemului de finanțare a sectorului cultural</t>
  </si>
  <si>
    <t>R1. Dezvoltarea capacității pentru gestionarea fondurilor publice din sănătate</t>
  </si>
  <si>
    <t>R2. Dezvoltarea capacității de investiții în infrastructura sanitară</t>
  </si>
  <si>
    <t>R3. Dezvoltarea capacității pentru managementul serviciilor de sănătate și managementul resurselor umane din sănătate</t>
  </si>
  <si>
    <t>R2. Rsistemului de protecție a persoanelor adulte cu dizabilități</t>
  </si>
  <si>
    <t>R3. Implementarea venitului minim de incluziune (VMI)</t>
  </si>
  <si>
    <t>R6. Îmbunătățirea legislației privind economia socială</t>
  </si>
  <si>
    <t>R7</t>
  </si>
  <si>
    <t>R7. Rserviciilor de îngrijire pe termen lung pentru persoanele în vârstă</t>
  </si>
  <si>
    <t>R1. Îmbunătățirea predictibilității și a eficienței proceselor decizionale prin întărirea capacității de coordonare a politicilor și analiză de impact la nivelul guvernului și a ministerelor coordonatoare, precum și prin consolidarea instrumentelor în vederea creșterea calității consultărilor publice la toate palierele administrație</t>
  </si>
  <si>
    <t>R2. Întărirea coordonării la Centrul Guvernului printr-o abordare integrată și coerentă a inițiativelor în domeniul schimbărilor climatice și a dezvoltării durabile</t>
  </si>
  <si>
    <t>R3. Management performant al resurselor umane în sectorul public</t>
  </si>
  <si>
    <t>R4. Dezvoltarea unui sistem de salarizare echitabil și unitar în sectorul public</t>
  </si>
  <si>
    <t>R8</t>
  </si>
  <si>
    <t>R8. Reformarea sistemului național de achiziții publice</t>
  </si>
  <si>
    <t>R9</t>
  </si>
  <si>
    <t>R9. Îmbunătățirea cadrului procedural de implementare a principiilor guvernanței corporative în cadrul întreprinderilor de stat</t>
  </si>
  <si>
    <t>R1. Crearea unui cadru juridic pentru utilizarea terenurilor aflate în proprietatea statului ca zone de accelerare pentru investițiile în sursele regenerabile de energie</t>
  </si>
  <si>
    <t>MADR</t>
  </si>
  <si>
    <t>R2. Înființarea de ghișee unice pentru furnizarea către prosumatori de servicii de consiliere în domeniul energiei pentru renovările ce vizează eficiența energetică și producția de energie din surse regenerabile</t>
  </si>
  <si>
    <t>ID_FIN_BUGETE</t>
  </si>
  <si>
    <t>COMP</t>
  </si>
  <si>
    <t>MAS</t>
  </si>
  <si>
    <t>SUB_MAS</t>
  </si>
  <si>
    <t>COORDONATOR</t>
  </si>
  <si>
    <t>FINANTARE</t>
  </si>
  <si>
    <t>MASURA_TITLU</t>
  </si>
  <si>
    <t>ALOCARE_FINANCIARA</t>
  </si>
  <si>
    <t>Componenta</t>
  </si>
  <si>
    <t>Măsura</t>
  </si>
  <si>
    <t>Coordonator</t>
  </si>
  <si>
    <t>Finanțare</t>
  </si>
  <si>
    <t>Titlul măsurii</t>
  </si>
  <si>
    <t>I2. Colectarea apelor uzate în aglomerări mai mici de 2.000 de locuitori echivalenți, care împiedică atingerea unei stări bune a corpurilor de apă și/sau afectează arii naturale protejate</t>
  </si>
  <si>
    <t>I5. Dotarea adecvată a administrațiilor bazinale pentru monitorizarea infrastructurii, prevenirea și gestionarea situațiilor de urgență</t>
  </si>
  <si>
    <t>I1. Campania națională de împădurire și reîmpădurire, inclusiv păduri urbane</t>
  </si>
  <si>
    <t>I2. Dezvoltarea de capacități moderne de producere a materialului forestier de reproducere</t>
  </si>
  <si>
    <t>I4. Investiții integrate de reconstrucție ecologică a habitatelor și conservarea speciilor aferente pajiștilor, zonelor acvatice și dependente de apă</t>
  </si>
  <si>
    <t>I5. Sisteme integrate de reducere a riscurilor generate de viituri torențiale în bazinete forestiere expuse unor astfel de fenomene</t>
  </si>
  <si>
    <t>I1-1</t>
  </si>
  <si>
    <t>I1. Dezvoltarea, modernizarea și completarea sistemelor de management integrat al deșeurilor municipale la nivel de județ sau la nivel de orașe/comune</t>
  </si>
  <si>
    <t>I1-2</t>
  </si>
  <si>
    <t>I2. Dezvoltarea infrastructurii pentru managementul gunoiului de grajd și al altor deșeuri agricole compostabile</t>
  </si>
  <si>
    <t>I3. Dezvoltarea capacităților instituționale de monitorizare publică și control pentru gestionarea deșeurilor și prevenirea poluării</t>
  </si>
  <si>
    <t>I1. Modernizarea și reînnoirea infrastructurii feroviare</t>
  </si>
  <si>
    <t>I3-1</t>
  </si>
  <si>
    <t>I3. Dezvoltarea infrastructurii rutiere durabile aferente rețelei TEN-T, taxarea drumurilor, managementul traficului și siguranța rutieră</t>
  </si>
  <si>
    <t>I3-2</t>
  </si>
  <si>
    <t>I3. Dezvoltarea infrastructurii rutiere durabile aferente rețelei TEN-T, taxarea drumurilor, managementul traficului și siguranța rutieră - 5 loturi A7 si Infrastructura aferentă operaționalizării sistemelor de trafic inteligent – centru de management al traficului, sisteme de informare a utilizatorilor, interoperabilitatea sistemelor de transport</t>
  </si>
  <si>
    <t>I1. Instituirea unui fond pentru Valul Renovării care să finanțeze lucrări de îmbunătățire a eficienței energetice a fondului construit</t>
  </si>
  <si>
    <t>I2. Implementarea Registrului național al clădirilor</t>
  </si>
  <si>
    <t>I2. Capacitățile de producție a hidrogenului verde care să fie utilizat pentru stocarea energiei electrice și/sau pentru decarbonizarea industriei</t>
  </si>
  <si>
    <t>I3. Dezvoltarea unei producții combinate de energie termică și energie electrică (CHP) pe gaz flexibile și de înaltă eficiență în sectorul încălzirii centralizate, în vederea atingerii unei decarbonizări adânci</t>
  </si>
  <si>
    <t>I4-2</t>
  </si>
  <si>
    <t>I4. Lanț industrial de producție și/sau asamblare și/sau reciclare a bateriilor, a celulelor și panourilor fotovoltaice (inclusiv echipamente auxiliare) și noi capacități de stocare a energiei electrice</t>
  </si>
  <si>
    <t>I4-3</t>
  </si>
  <si>
    <t>I5. Asigurarea eficienței energetice în sectorul industrial</t>
  </si>
  <si>
    <t>I1. Implementarea infrastructurii de cloud guvernamental</t>
  </si>
  <si>
    <t>I2. Dezvoltarea cloudului și migrarea în cloud.</t>
  </si>
  <si>
    <t>I3. Realizarea sistemului de eHealth și telemedicină - I3.1 Redimensionare, standardizare și optimizare a Platformei informatice din asigurările de sănătate (PIAS)</t>
  </si>
  <si>
    <t>I3. Realizarea sistemului de eHealth și telemedicină - I3.2. Digitalizarea instituțiilor cu atribuții în domeniul sanitar aflate în subordinea MS</t>
  </si>
  <si>
    <t>I3-3</t>
  </si>
  <si>
    <t>I3. Realizarea sistemului de eHealth și telemedicină - I3.3 Digitalizarea a 200 de unități sanitare publice</t>
  </si>
  <si>
    <t>I4. Digitalizarea sistemului judiciar</t>
  </si>
  <si>
    <t>I5. Digitalizare în domeniul mediului</t>
  </si>
  <si>
    <t>I6. Digitalizarea în domeniul muncii și protecției sociale</t>
  </si>
  <si>
    <t>I9. Digitalizarea sectorului organizațiilor neguvernamentale</t>
  </si>
  <si>
    <t>I10. Transformarea digitală în managementul funcției publice</t>
  </si>
  <si>
    <t>I11. Implementarea unei scheme de sprijinire a utilizării serviciilor de comunicații prin diferite tipuri de instrumente pentru beneficiari, cu accent pe zonele albe</t>
  </si>
  <si>
    <t>I12. Asigurarea protecției cibernetice atât pentru infrastructurile TIC publice, cât și pentru cele private cu valențe critic e pentru securitatea națională, prin utilizarea tehnologiilor inteligente</t>
  </si>
  <si>
    <t>I13. Dezvoltarea sistemelor de securitate pentru protecția spectrului guvernamental</t>
  </si>
  <si>
    <t>I14. Sporirea rezilienței și a securității cibernetice a serviciilor de infrastructură ale furnizorilor de servicii de internet pentru autoritățile publice din România</t>
  </si>
  <si>
    <t>I16. Program de formare de competențe digitale avansate pentru funcționarii publici</t>
  </si>
  <si>
    <t>I19. Scheme dedicate perfecționării/recalificării angajaților din firme</t>
  </si>
  <si>
    <t>I1. Creșterea conformării voluntare a contribuabililor prin dezvoltarea serviciilor digitale</t>
  </si>
  <si>
    <t>I2. Îmbunătățirea proceselor de administrare a impozitelor și taxelor, inclusiv prin implementarea managementului integrat al riscurilor</t>
  </si>
  <si>
    <t>I3. Asigurarea capacității de răspuns la provocările informaționale actuale și viitoare, inclusiv în contextul pandemiei, prin transformarea digitală a Ministerului de Finanțe/Agenției Naționale de Administrare Fiscală</t>
  </si>
  <si>
    <t>I4. Implementarea vămii electronice</t>
  </si>
  <si>
    <t>I5. Îmbunătățirea mecanismului de programare bugetară</t>
  </si>
  <si>
    <t>I6. Instrument de modelare economică (set de instrumente de simulare privind opțiunile de reformă a pensiilor) pentru îmbunătățirea capacității instituționale de a prognoza cheltuielile cu pensiile</t>
  </si>
  <si>
    <t>I7. Asistență tehnică pentru revizuirea cadrului fiscal</t>
  </si>
  <si>
    <t>I8. Operaționalizarea Băncii Naționale de Dezvoltare</t>
  </si>
  <si>
    <t>I9. Susținerea procesului de evaluare a dosarelor de pensii aflate în plată</t>
  </si>
  <si>
    <t>I10. Eficiență operațională și servicii electronice avansate pentru sistemul național de pensii prin digitalizare.</t>
  </si>
  <si>
    <t>I1. Platforme digitale privind transparentizarea legislativă, debirocratizarea și simplificarea procedurală destinate mediului de afaceri</t>
  </si>
  <si>
    <t>I2-1</t>
  </si>
  <si>
    <t>I2-2</t>
  </si>
  <si>
    <t>I4. Proiecte transfrontaliere și multinaționale – Procesoare cu consum redus de energie și cipuri semiconductoare</t>
  </si>
  <si>
    <t>I5. Înființarea și operaționalizarea centrelor de competență</t>
  </si>
  <si>
    <t>I10. Înființarea și susținerea financiară a unei rețele naționale de (8) opt centre regionale de orientare în carieră ca parte a ERA TALENT PLATFORM</t>
  </si>
  <si>
    <t>I1. Mobilitate urbană durabilă</t>
  </si>
  <si>
    <t>I2. Construcția de locuințe pentru tineri / locuințe pentru specialiști în sănătate și educație</t>
  </si>
  <si>
    <t>I3. Reabilitarea moderată a clădirilor publice pentru a îmbunătăți furnizarea de servicii publice de către unitățile administrativ-teritoriale</t>
  </si>
  <si>
    <t>I4. Elaborarea / actualizarea în format GIS a documentelor de amenajare a teritoriului și de urbanism</t>
  </si>
  <si>
    <t>I1. Promovarea celor 12 rute turistice/culturale</t>
  </si>
  <si>
    <t>I2. Modernizarea/crearea de muzee și memoriale</t>
  </si>
  <si>
    <t>I3. Înființarea și operaționalizarea Centrului Național de Coordonare Velo</t>
  </si>
  <si>
    <t>I4. Implementarea a 2404 km de piste pentru biciclete</t>
  </si>
  <si>
    <t>I5. Sporirea accesului la cultură în zonele defavorizate din punct de vedere cultural</t>
  </si>
  <si>
    <t>I1. Dezvoltarea infrastructurii medicale prespitalicești - I1.1 - Cabinete ale medicilor de familie sau asocieri de cabinete de asistență medicală primară – 2000 unități</t>
  </si>
  <si>
    <t>I1-3</t>
  </si>
  <si>
    <t>I1. Dezvoltarea infrastructurii medicale prespitalicești - I1.3 – Unități de asistență medicală ambulatorie – 30 unități</t>
  </si>
  <si>
    <t>I1-4</t>
  </si>
  <si>
    <t>I1. Dezvoltarea infrastructurii medicale prespitalicești - I1.4 – Centre comunitare integrate (nou-construite/renovate și dotate, inclusiv cu personal adecvat) – 200 unități</t>
  </si>
  <si>
    <t>I1-5</t>
  </si>
  <si>
    <t>I1. Dezvoltarea infrastructurii medicale prespitalicești - I1.5 – Cabinete de planificare familială</t>
  </si>
  <si>
    <t>I2-a</t>
  </si>
  <si>
    <t>I2. Dezvoltarea infrastructurii spitalicești publice - I2.1 Dezvoltarea infrastructurii spitalicești publice (19 spitale) si I2.2 Echipamente și aparatură medicală</t>
  </si>
  <si>
    <t>I2-b</t>
  </si>
  <si>
    <t>I2-3</t>
  </si>
  <si>
    <t>I2. Dezvoltarea infrastructurii spitalicești publice - I2.3- Dezvoltarea infrastructurii spitalicești publice (25 Unități de terapie intensivă pentru nou-născuți dotate, inclusiv cu ambulanțe pentru nou-născuți (pentru centrele regionale) (T376)</t>
  </si>
  <si>
    <t>I2-4</t>
  </si>
  <si>
    <t>I1. Crearea unei rețele de centre de zi pentru copiii expuși riscului de a fi separați de familie</t>
  </si>
  <si>
    <t>I3. Operaționalizarea introducerii tichetelor de muncă pentru activitățile casnice</t>
  </si>
  <si>
    <t>I4. Crearea unei rețele de centre de îngrijire de zi și de reabilitare pentru persoanele în vârstă</t>
  </si>
  <si>
    <t>I5. Monitorizarea și implementarea planului</t>
  </si>
  <si>
    <t>I2: Înființarea, echiparea și operaționalizarea unui număr de 90 servicii complementare pentru grupurile dezavantajate</t>
  </si>
  <si>
    <t>I4: Sprijinirea unităților de învățământ cu risc crescut de abandon școlar</t>
  </si>
  <si>
    <t>I5: Instruiri pentru utilizatorii (SIIIR) și (MATE) și intervenții sistemice pentru reducerea abandonului școlar</t>
  </si>
  <si>
    <t>I6: Dezvoltarea a 10 consorții regionale și dezvoltarea și dotarea a 10 campusuri profesionale</t>
  </si>
  <si>
    <t>I8: Program de formare continuă a personalului didactic</t>
  </si>
  <si>
    <t>I10-1</t>
  </si>
  <si>
    <t>I10-2</t>
  </si>
  <si>
    <t>I13: Echiparea laboratoarelor de informatică din unitățile de învățământ profesional și tehnic</t>
  </si>
  <si>
    <t>I14: Echiparea atelierelor de practică din unitățile de învățământ profesional și tehnic</t>
  </si>
  <si>
    <t>I16: Digitalizarea universităților și pregătirea acestora pentru profesiile digitale ale viitorului</t>
  </si>
  <si>
    <t>I17: Asigurarea infrastructurii universitare (cămine, cantine, spații de recreere)</t>
  </si>
  <si>
    <t>I18: Program de instruire și mentorat pentru manageri și inspectori școlari</t>
  </si>
  <si>
    <t>I4-1</t>
  </si>
  <si>
    <t>I4. Schemă de acordare a voucherelor pentru accelerarea instalării de capacități de energie regenerabilă în cadrul gospodăriilor individuale</t>
  </si>
  <si>
    <t>I5-a</t>
  </si>
  <si>
    <t>I5. Eficientizarea, modernizarea și digitalizarea rețelei naționale de transport a energiei electrice Subinvestiția 5.a - Instalarea de centrale fotovoltaice (CEF) și instalații de stocare a energiei electrice destinate alimentării serviciilor interne instalate în stațiile C.N.T.E.E. Transelectrica S.A</t>
  </si>
  <si>
    <t>I5-b</t>
  </si>
  <si>
    <t>I5. Eficientizarea, modernizarea și digitalizarea rețelei naționale de transport a energiei electrice Subinvestiția 5.b - Retehnologizarea SMART SA – filiala C.N.T.E.E. Transelectrica S.A</t>
  </si>
  <si>
    <t>I5-c</t>
  </si>
  <si>
    <t>I5. Eficientizarea, modernizarea și digitalizarea rețelei naționale de transport a energiei electrice Subinvestiția 5.c - Optimizarea rețelei de comunicații și crearea unui centru de date – Teletrans SA, filiala C.N.T.E.E. Transelectrica S.A</t>
  </si>
  <si>
    <t>I7. Schemă de acordare de vouchere pentru îmbunătățirea eficienței energetice în cadrul gospodăriilor individuale</t>
  </si>
  <si>
    <t>Alocare Finaciară (euro Exclusiv Tva)</t>
  </si>
  <si>
    <t>Contractare (lei Exclusiv Tva)</t>
  </si>
  <si>
    <t>Executat (lei)</t>
  </si>
  <si>
    <t>Executat (euro)</t>
  </si>
  <si>
    <t>Executat (%)</t>
  </si>
  <si>
    <t>Managementul apei</t>
  </si>
  <si>
    <t>Păduri și protecția biodiversității</t>
  </si>
  <si>
    <t>Managementul deșeurilor</t>
  </si>
  <si>
    <t>Transport sustenabil</t>
  </si>
  <si>
    <t>Valul Renovării</t>
  </si>
  <si>
    <t>Energie</t>
  </si>
  <si>
    <t>Transformare digitală</t>
  </si>
  <si>
    <t>Reforma fiscală și reforma sistemului de pensii</t>
  </si>
  <si>
    <t>Suport pentru sectorul privat, cercetare, dezvoltare și inovare</t>
  </si>
  <si>
    <t>Fondul local</t>
  </si>
  <si>
    <t>Turism și cultură</t>
  </si>
  <si>
    <t>Sănătate</t>
  </si>
  <si>
    <t>Reforme sociale</t>
  </si>
  <si>
    <t>Bună guvernanță</t>
  </si>
  <si>
    <t>Educație</t>
  </si>
  <si>
    <t>REPowerEU</t>
  </si>
  <si>
    <t>Dashboard</t>
  </si>
  <si>
    <t>Status</t>
  </si>
  <si>
    <t>Diferente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</si>
</sst>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2"/>
      <name val="Arial Narrow"/>
      <family val="2"/>
      <charset val="238"/>
    </font>
    <font>
      <sz val="12"/>
      <name val="Arial Narrow"/>
      <family val="2"/>
      <charset val="238"/>
    </font>
    <font>
      <sz val="12"/>
      <color theme="1"/>
      <name val="Arial Narrow"/>
      <family val="2"/>
      <charset val="238"/>
    </font>
    <font>
      <sz val="12"/>
      <color rgb="FF000000"/>
      <name val="Arial Narrow"/>
      <family val="2"/>
      <charset val="238"/>
    </font>
    <font>
      <sz val="12"/>
      <color rgb="FFFF0000"/>
      <name val="Arial Narrow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43" fontId="2" fillId="2" borderId="1" xfId="1" applyFont="1" applyFill="1" applyBorder="1" applyAlignment="1">
      <alignment horizontal="center" vertical="top" wrapText="1"/>
    </xf>
    <xf numFmtId="43" fontId="2" fillId="2" borderId="1" xfId="1" applyFont="1" applyFill="1" applyBorder="1" applyAlignment="1">
      <alignment horizontal="center" vertical="top"/>
    </xf>
    <xf numFmtId="43" fontId="3" fillId="0" borderId="1" xfId="1" applyFont="1" applyFill="1" applyBorder="1" applyAlignment="1">
      <alignment horizontal="center" vertical="top" wrapText="1"/>
    </xf>
    <xf numFmtId="0" fontId="4" fillId="0" borderId="1" xfId="1" applyNumberFormat="1" applyFont="1" applyFill="1" applyBorder="1" applyAlignment="1">
      <alignment horizontal="center" vertical="top" wrapText="1"/>
    </xf>
    <xf numFmtId="43" fontId="4" fillId="0" borderId="1" xfId="1" applyFont="1" applyFill="1" applyBorder="1" applyAlignment="1">
      <alignment horizontal="center" vertical="top" wrapText="1"/>
    </xf>
    <xf numFmtId="43" fontId="3" fillId="0" borderId="1" xfId="1" applyFont="1" applyFill="1" applyBorder="1" applyAlignment="1">
      <alignment horizontal="center" vertical="top"/>
    </xf>
    <xf numFmtId="43" fontId="4" fillId="0" borderId="1" xfId="1" applyFont="1" applyFill="1" applyBorder="1" applyAlignment="1">
      <alignment horizontal="center" vertical="top"/>
    </xf>
    <xf numFmtId="0" fontId="3" fillId="0" borderId="1" xfId="1" applyNumberFormat="1" applyFont="1" applyFill="1" applyBorder="1" applyAlignment="1">
      <alignment horizontal="center" vertical="top" wrapText="1"/>
    </xf>
    <xf numFmtId="0" fontId="5" fillId="0" borderId="1" xfId="1" applyNumberFormat="1" applyFont="1" applyFill="1" applyBorder="1" applyAlignment="1">
      <alignment horizontal="center" vertical="top" wrapText="1"/>
    </xf>
    <xf numFmtId="43" fontId="3" fillId="0" borderId="1" xfId="1" applyFont="1" applyBorder="1" applyAlignment="1">
      <alignment horizontal="center" vertical="top"/>
    </xf>
    <xf numFmtId="0" fontId="4" fillId="0" borderId="1" xfId="1" applyNumberFormat="1" applyFont="1" applyBorder="1" applyAlignment="1">
      <alignment horizontal="center" vertical="top" wrapText="1"/>
    </xf>
    <xf numFmtId="0" fontId="4" fillId="0" borderId="1" xfId="1" applyNumberFormat="1" applyFont="1" applyBorder="1" applyAlignment="1">
      <alignment horizontal="left" vertical="top"/>
    </xf>
    <xf numFmtId="3" fontId="4" fillId="3" borderId="1" xfId="1" applyNumberFormat="1" applyFont="1" applyFill="1" applyBorder="1" applyAlignment="1">
      <alignment horizontal="center" vertical="top"/>
    </xf>
    <xf numFmtId="3" fontId="4" fillId="0" borderId="1" xfId="1" applyNumberFormat="1" applyFont="1" applyFill="1" applyBorder="1" applyAlignment="1">
      <alignment horizontal="right" vertical="top"/>
    </xf>
    <xf numFmtId="3" fontId="3" fillId="0" borderId="1" xfId="1" applyNumberFormat="1" applyFont="1" applyFill="1" applyBorder="1" applyAlignment="1">
      <alignment horizontal="right" vertical="top"/>
    </xf>
    <xf numFmtId="3" fontId="4" fillId="0" borderId="1" xfId="1" applyNumberFormat="1" applyFont="1" applyFill="1" applyBorder="1" applyAlignment="1">
      <alignment horizontal="right" vertical="top" wrapText="1"/>
    </xf>
    <xf numFmtId="0" fontId="2" fillId="2" borderId="1" xfId="1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4" fillId="0" borderId="1" xfId="1" applyNumberFormat="1" applyFont="1" applyFill="1" applyBorder="1" applyAlignment="1">
      <alignment horizontal="left" vertical="top"/>
    </xf>
    <xf numFmtId="3" fontId="4" fillId="0" borderId="1" xfId="1" applyNumberFormat="1" applyFont="1" applyFill="1" applyBorder="1" applyAlignment="1">
      <alignment horizontal="center" vertical="top"/>
    </xf>
    <xf numFmtId="3" fontId="6" fillId="0" borderId="1" xfId="1" applyNumberFormat="1" applyFont="1" applyFill="1" applyBorder="1" applyAlignment="1">
      <alignment horizontal="right" vertical="top"/>
    </xf>
    <xf numFmtId="3" fontId="6" fillId="0" borderId="2" xfId="1" applyNumberFormat="1" applyFont="1" applyFill="1" applyBorder="1" applyAlignment="1">
      <alignment horizontal="right" vertical="top"/>
    </xf>
    <xf numFmtId="4" fontId="0" fillId="0" borderId="0" xfId="0" applyNumberFormat="1"/>
    <xf numFmtId="3" fontId="0" fillId="0" borderId="0" xfId="0" applyNumberFormat="1"/>
    <xf numFmtId="10" fontId="0" fillId="0" borderId="0" xfId="0" applyNumberFormat="1"/>
    <xf numFmtId="0" fontId="0" fillId="4" borderId="0" xfId="0" applyFill="1"/>
  </cellXfs>
  <cellStyles count="3">
    <cellStyle name="Normal" xfId="0" builtinId="0"/>
    <cellStyle name="Virgulă" xfId="1" builtinId="3"/>
    <cellStyle name="Virgulă 2" xfId="2" xr:uid="{655B003F-F337-470F-8A3B-0FE4F37716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5C534-4676-4777-8459-31FF2CFC83A1}">
  <dimension ref="A1:J151"/>
  <sheetViews>
    <sheetView workbookViewId="0">
      <selection activeCell="G1" sqref="G1"/>
    </sheetView>
  </sheetViews>
  <sheetFormatPr defaultRowHeight="14.25" x14ac:dyDescent="0.45"/>
  <cols>
    <col min="1" max="1" width="16.3984375" customWidth="1"/>
    <col min="4" max="4" width="11.73046875" customWidth="1"/>
    <col min="5" max="5" width="15.9296875" customWidth="1"/>
    <col min="6" max="6" width="13.6640625" customWidth="1"/>
    <col min="7" max="7" width="65.53125" customWidth="1"/>
    <col min="8" max="8" width="24.73046875" customWidth="1"/>
    <col min="9" max="9" width="13.19921875" bestFit="1" customWidth="1"/>
  </cols>
  <sheetData>
    <row r="1" spans="1:8" ht="22.9" customHeight="1" x14ac:dyDescent="0.45">
      <c r="A1" s="1" t="s">
        <v>203</v>
      </c>
      <c r="B1" s="1" t="s">
        <v>204</v>
      </c>
      <c r="C1" s="1" t="s">
        <v>205</v>
      </c>
      <c r="D1" s="1" t="s">
        <v>206</v>
      </c>
      <c r="E1" s="2" t="s">
        <v>207</v>
      </c>
      <c r="F1" s="1" t="s">
        <v>208</v>
      </c>
      <c r="G1" s="17" t="s">
        <v>209</v>
      </c>
      <c r="H1" s="1" t="s">
        <v>210</v>
      </c>
    </row>
    <row r="2" spans="1:8" ht="15" x14ac:dyDescent="0.45">
      <c r="A2" s="18">
        <v>2</v>
      </c>
      <c r="B2" s="3" t="s">
        <v>0</v>
      </c>
      <c r="C2" s="4" t="s">
        <v>1</v>
      </c>
      <c r="D2" s="4"/>
      <c r="E2" s="3" t="s">
        <v>4</v>
      </c>
      <c r="F2" s="5" t="s">
        <v>3</v>
      </c>
      <c r="G2" s="12" t="s">
        <v>2</v>
      </c>
      <c r="H2" s="14">
        <v>244838539</v>
      </c>
    </row>
    <row r="3" spans="1:8" ht="15" x14ac:dyDescent="0.45">
      <c r="A3" s="18">
        <v>3</v>
      </c>
      <c r="B3" s="3" t="s">
        <v>0</v>
      </c>
      <c r="C3" s="4" t="s">
        <v>5</v>
      </c>
      <c r="D3" s="4"/>
      <c r="E3" s="3" t="s">
        <v>4</v>
      </c>
      <c r="F3" s="5" t="s">
        <v>3</v>
      </c>
      <c r="G3" s="12" t="s">
        <v>6</v>
      </c>
      <c r="H3" s="15">
        <v>57974587</v>
      </c>
    </row>
    <row r="4" spans="1:8" ht="15" x14ac:dyDescent="0.45">
      <c r="A4" s="18">
        <v>5</v>
      </c>
      <c r="B4" s="3" t="s">
        <v>0</v>
      </c>
      <c r="C4" s="4" t="s">
        <v>7</v>
      </c>
      <c r="D4" s="4"/>
      <c r="E4" s="3" t="s">
        <v>4</v>
      </c>
      <c r="F4" s="5" t="s">
        <v>3</v>
      </c>
      <c r="G4" s="19" t="s">
        <v>8</v>
      </c>
      <c r="H4" s="14">
        <v>33003856</v>
      </c>
    </row>
    <row r="5" spans="1:8" ht="15" x14ac:dyDescent="0.45">
      <c r="A5" s="18">
        <v>7</v>
      </c>
      <c r="B5" s="6" t="s">
        <v>0</v>
      </c>
      <c r="C5" s="4" t="s">
        <v>9</v>
      </c>
      <c r="D5" s="4"/>
      <c r="E5" s="3" t="s">
        <v>4</v>
      </c>
      <c r="F5" s="7" t="s">
        <v>3</v>
      </c>
      <c r="G5" s="19" t="s">
        <v>10</v>
      </c>
      <c r="H5" s="14">
        <v>35000000</v>
      </c>
    </row>
    <row r="6" spans="1:8" ht="15" x14ac:dyDescent="0.45">
      <c r="A6" s="18">
        <v>8</v>
      </c>
      <c r="B6" s="6" t="s">
        <v>0</v>
      </c>
      <c r="C6" s="8" t="s">
        <v>11</v>
      </c>
      <c r="D6" s="8"/>
      <c r="E6" s="3" t="s">
        <v>4</v>
      </c>
      <c r="F6" s="7" t="s">
        <v>13</v>
      </c>
      <c r="G6" s="19" t="s">
        <v>12</v>
      </c>
      <c r="H6" s="14">
        <v>30000000</v>
      </c>
    </row>
    <row r="7" spans="1:8" ht="15" x14ac:dyDescent="0.45">
      <c r="A7" s="18">
        <v>11</v>
      </c>
      <c r="B7" s="6" t="s">
        <v>14</v>
      </c>
      <c r="C7" s="4" t="s">
        <v>1</v>
      </c>
      <c r="D7" s="4"/>
      <c r="E7" s="3" t="s">
        <v>4</v>
      </c>
      <c r="F7" s="7" t="s">
        <v>13</v>
      </c>
      <c r="G7" s="19" t="s">
        <v>15</v>
      </c>
      <c r="H7" s="14">
        <v>307547498</v>
      </c>
    </row>
    <row r="8" spans="1:8" ht="15" x14ac:dyDescent="0.45">
      <c r="A8" s="18">
        <v>12</v>
      </c>
      <c r="B8" s="6" t="s">
        <v>14</v>
      </c>
      <c r="C8" s="4" t="s">
        <v>5</v>
      </c>
      <c r="D8" s="4"/>
      <c r="E8" s="3" t="s">
        <v>4</v>
      </c>
      <c r="F8" s="7" t="s">
        <v>13</v>
      </c>
      <c r="G8" s="19" t="s">
        <v>16</v>
      </c>
      <c r="H8" s="14">
        <v>50000000</v>
      </c>
    </row>
    <row r="9" spans="1:8" ht="15" x14ac:dyDescent="0.45">
      <c r="A9" s="18">
        <v>13</v>
      </c>
      <c r="B9" s="3" t="s">
        <v>14</v>
      </c>
      <c r="C9" s="4" t="s">
        <v>17</v>
      </c>
      <c r="D9" s="4"/>
      <c r="E9" s="3" t="s">
        <v>4</v>
      </c>
      <c r="F9" s="7" t="s">
        <v>13</v>
      </c>
      <c r="G9" s="19" t="s">
        <v>18</v>
      </c>
      <c r="H9" s="14">
        <v>5000000</v>
      </c>
    </row>
    <row r="10" spans="1:8" ht="15" x14ac:dyDescent="0.45">
      <c r="A10" s="18">
        <v>16</v>
      </c>
      <c r="B10" s="6" t="s">
        <v>14</v>
      </c>
      <c r="C10" s="4" t="s">
        <v>7</v>
      </c>
      <c r="D10" s="4"/>
      <c r="E10" s="3" t="s">
        <v>4</v>
      </c>
      <c r="F10" s="7" t="s">
        <v>13</v>
      </c>
      <c r="G10" s="19" t="s">
        <v>19</v>
      </c>
      <c r="H10" s="14">
        <v>10001000</v>
      </c>
    </row>
    <row r="11" spans="1:8" ht="15" x14ac:dyDescent="0.45">
      <c r="A11" s="18">
        <v>20</v>
      </c>
      <c r="B11" s="6" t="s">
        <v>14</v>
      </c>
      <c r="C11" s="4" t="s">
        <v>9</v>
      </c>
      <c r="D11" s="4"/>
      <c r="E11" s="3" t="s">
        <v>4</v>
      </c>
      <c r="F11" s="7" t="s">
        <v>13</v>
      </c>
      <c r="G11" s="19" t="s">
        <v>20</v>
      </c>
      <c r="H11" s="14">
        <v>22000000</v>
      </c>
    </row>
    <row r="12" spans="1:8" ht="15" x14ac:dyDescent="0.45">
      <c r="A12" s="18">
        <v>21</v>
      </c>
      <c r="B12" s="6" t="s">
        <v>21</v>
      </c>
      <c r="C12" s="4" t="s">
        <v>1</v>
      </c>
      <c r="D12" s="4">
        <v>1</v>
      </c>
      <c r="E12" s="3" t="s">
        <v>4</v>
      </c>
      <c r="F12" s="7" t="s">
        <v>13</v>
      </c>
      <c r="G12" s="19" t="s">
        <v>22</v>
      </c>
      <c r="H12" s="14">
        <v>240106200</v>
      </c>
    </row>
    <row r="13" spans="1:8" ht="15" x14ac:dyDescent="0.45">
      <c r="A13" s="18">
        <v>149</v>
      </c>
      <c r="B13" s="6" t="s">
        <v>21</v>
      </c>
      <c r="C13" s="4" t="s">
        <v>1</v>
      </c>
      <c r="D13" s="4">
        <v>2</v>
      </c>
      <c r="E13" s="3" t="s">
        <v>4</v>
      </c>
      <c r="F13" s="7" t="s">
        <v>3</v>
      </c>
      <c r="G13" s="19" t="s">
        <v>22</v>
      </c>
      <c r="H13" s="14">
        <v>165643845</v>
      </c>
    </row>
    <row r="14" spans="1:8" ht="15" x14ac:dyDescent="0.45">
      <c r="A14" s="18">
        <v>25</v>
      </c>
      <c r="B14" s="6" t="s">
        <v>21</v>
      </c>
      <c r="C14" s="4" t="s">
        <v>5</v>
      </c>
      <c r="D14" s="4"/>
      <c r="E14" s="3" t="s">
        <v>4</v>
      </c>
      <c r="F14" s="7" t="s">
        <v>3</v>
      </c>
      <c r="G14" s="19" t="s">
        <v>23</v>
      </c>
      <c r="H14" s="14">
        <v>50196850</v>
      </c>
    </row>
    <row r="15" spans="1:8" ht="15" x14ac:dyDescent="0.45">
      <c r="A15" s="18">
        <v>26</v>
      </c>
      <c r="B15" s="6" t="s">
        <v>21</v>
      </c>
      <c r="C15" s="4" t="s">
        <v>17</v>
      </c>
      <c r="D15" s="4"/>
      <c r="E15" s="3" t="s">
        <v>4</v>
      </c>
      <c r="F15" s="7" t="s">
        <v>13</v>
      </c>
      <c r="G15" s="19" t="s">
        <v>24</v>
      </c>
      <c r="H15" s="14">
        <v>13000000</v>
      </c>
    </row>
    <row r="16" spans="1:8" ht="15" x14ac:dyDescent="0.45">
      <c r="A16" s="18">
        <v>29</v>
      </c>
      <c r="B16" s="6" t="s">
        <v>25</v>
      </c>
      <c r="C16" s="4" t="s">
        <v>1</v>
      </c>
      <c r="D16" s="4"/>
      <c r="E16" s="5" t="s">
        <v>27</v>
      </c>
      <c r="F16" s="7" t="s">
        <v>3</v>
      </c>
      <c r="G16" s="19" t="s">
        <v>26</v>
      </c>
      <c r="H16" s="21">
        <v>1874376400</v>
      </c>
    </row>
    <row r="17" spans="1:8" ht="15" x14ac:dyDescent="0.45">
      <c r="A17" s="18">
        <v>30</v>
      </c>
      <c r="B17" s="3" t="s">
        <v>25</v>
      </c>
      <c r="C17" s="4" t="s">
        <v>5</v>
      </c>
      <c r="D17" s="4"/>
      <c r="E17" s="5" t="s">
        <v>27</v>
      </c>
      <c r="F17" s="7" t="s">
        <v>3</v>
      </c>
      <c r="G17" s="19" t="s">
        <v>28</v>
      </c>
      <c r="H17" s="21">
        <v>280829800</v>
      </c>
    </row>
    <row r="18" spans="1:8" ht="15" x14ac:dyDescent="0.45">
      <c r="A18" s="18">
        <v>32</v>
      </c>
      <c r="B18" s="6" t="s">
        <v>25</v>
      </c>
      <c r="C18" s="4" t="s">
        <v>17</v>
      </c>
      <c r="D18" s="4">
        <v>1</v>
      </c>
      <c r="E18" s="7" t="s">
        <v>27</v>
      </c>
      <c r="F18" s="7" t="s">
        <v>3</v>
      </c>
      <c r="G18" s="19" t="s">
        <v>29</v>
      </c>
      <c r="H18" s="21">
        <v>1098821134</v>
      </c>
    </row>
    <row r="19" spans="1:8" ht="15" x14ac:dyDescent="0.45">
      <c r="A19" s="18">
        <v>174</v>
      </c>
      <c r="B19" s="6" t="s">
        <v>25</v>
      </c>
      <c r="C19" s="4" t="s">
        <v>17</v>
      </c>
      <c r="D19" s="4">
        <v>2</v>
      </c>
      <c r="E19" s="7" t="s">
        <v>27</v>
      </c>
      <c r="F19" s="7" t="s">
        <v>13</v>
      </c>
      <c r="G19" s="19" t="s">
        <v>30</v>
      </c>
      <c r="H19" s="22">
        <v>2169200266</v>
      </c>
    </row>
    <row r="20" spans="1:8" ht="15" x14ac:dyDescent="0.45">
      <c r="A20" s="18">
        <v>175</v>
      </c>
      <c r="B20" s="6" t="s">
        <v>31</v>
      </c>
      <c r="C20" s="4" t="s">
        <v>1</v>
      </c>
      <c r="D20" s="4">
        <v>1</v>
      </c>
      <c r="E20" s="5" t="s">
        <v>33</v>
      </c>
      <c r="F20" s="5" t="s">
        <v>13</v>
      </c>
      <c r="G20" s="19" t="s">
        <v>32</v>
      </c>
      <c r="H20" s="22">
        <v>1390241851</v>
      </c>
    </row>
    <row r="21" spans="1:8" ht="15" x14ac:dyDescent="0.45">
      <c r="A21" s="18">
        <v>35</v>
      </c>
      <c r="B21" s="6" t="s">
        <v>31</v>
      </c>
      <c r="C21" s="4" t="s">
        <v>1</v>
      </c>
      <c r="D21" s="4">
        <v>2</v>
      </c>
      <c r="E21" s="5" t="s">
        <v>33</v>
      </c>
      <c r="F21" s="5" t="s">
        <v>3</v>
      </c>
      <c r="G21" s="19" t="s">
        <v>32</v>
      </c>
      <c r="H21" s="22">
        <v>523160864</v>
      </c>
    </row>
    <row r="22" spans="1:8" ht="15" x14ac:dyDescent="0.45">
      <c r="A22" s="18">
        <v>36</v>
      </c>
      <c r="B22" s="6" t="s">
        <v>31</v>
      </c>
      <c r="C22" s="4" t="s">
        <v>5</v>
      </c>
      <c r="D22" s="4"/>
      <c r="E22" s="7" t="s">
        <v>33</v>
      </c>
      <c r="F22" s="7" t="s">
        <v>3</v>
      </c>
      <c r="G22" s="19" t="s">
        <v>34</v>
      </c>
      <c r="H22" s="14">
        <v>5000000</v>
      </c>
    </row>
    <row r="23" spans="1:8" ht="15" x14ac:dyDescent="0.45">
      <c r="A23" s="18">
        <v>38</v>
      </c>
      <c r="B23" s="3" t="s">
        <v>31</v>
      </c>
      <c r="C23" s="4" t="s">
        <v>7</v>
      </c>
      <c r="D23" s="4"/>
      <c r="E23" s="5" t="s">
        <v>36</v>
      </c>
      <c r="F23" s="5" t="s">
        <v>3</v>
      </c>
      <c r="G23" s="19" t="s">
        <v>35</v>
      </c>
      <c r="H23" s="16">
        <v>14850000</v>
      </c>
    </row>
    <row r="24" spans="1:8" ht="15" x14ac:dyDescent="0.45">
      <c r="A24" s="18">
        <v>41</v>
      </c>
      <c r="B24" s="3" t="s">
        <v>37</v>
      </c>
      <c r="C24" s="4" t="s">
        <v>5</v>
      </c>
      <c r="D24" s="4"/>
      <c r="E24" s="5" t="s">
        <v>176</v>
      </c>
      <c r="F24" s="5" t="s">
        <v>3</v>
      </c>
      <c r="G24" s="19" t="s">
        <v>38</v>
      </c>
      <c r="H24" s="14">
        <v>86500000</v>
      </c>
    </row>
    <row r="25" spans="1:8" ht="15" x14ac:dyDescent="0.45">
      <c r="A25" s="18">
        <v>42</v>
      </c>
      <c r="B25" s="6" t="s">
        <v>37</v>
      </c>
      <c r="C25" s="4" t="s">
        <v>17</v>
      </c>
      <c r="D25" s="4"/>
      <c r="E25" s="5" t="s">
        <v>176</v>
      </c>
      <c r="F25" s="7" t="s">
        <v>3</v>
      </c>
      <c r="G25" s="19" t="s">
        <v>39</v>
      </c>
      <c r="H25" s="15">
        <v>86377743</v>
      </c>
    </row>
    <row r="26" spans="1:8" ht="15" x14ac:dyDescent="0.45">
      <c r="A26" s="18">
        <v>43</v>
      </c>
      <c r="B26" s="3" t="s">
        <v>37</v>
      </c>
      <c r="C26" s="4" t="s">
        <v>7</v>
      </c>
      <c r="D26" s="4">
        <v>2</v>
      </c>
      <c r="E26" s="5" t="s">
        <v>176</v>
      </c>
      <c r="F26" s="5" t="s">
        <v>3</v>
      </c>
      <c r="G26" s="19" t="s">
        <v>40</v>
      </c>
      <c r="H26" s="15">
        <v>50000000</v>
      </c>
    </row>
    <row r="27" spans="1:8" ht="15" x14ac:dyDescent="0.45">
      <c r="A27" s="18">
        <v>176</v>
      </c>
      <c r="B27" s="3" t="s">
        <v>37</v>
      </c>
      <c r="C27" s="4" t="s">
        <v>7</v>
      </c>
      <c r="D27" s="4">
        <v>3</v>
      </c>
      <c r="E27" s="5" t="s">
        <v>176</v>
      </c>
      <c r="F27" s="5" t="s">
        <v>13</v>
      </c>
      <c r="G27" s="19" t="s">
        <v>40</v>
      </c>
      <c r="H27" s="14">
        <v>80000000</v>
      </c>
    </row>
    <row r="28" spans="1:8" ht="15" x14ac:dyDescent="0.45">
      <c r="A28" s="18">
        <v>44</v>
      </c>
      <c r="B28" s="6" t="s">
        <v>37</v>
      </c>
      <c r="C28" s="4" t="s">
        <v>9</v>
      </c>
      <c r="D28" s="4"/>
      <c r="E28" s="5" t="s">
        <v>176</v>
      </c>
      <c r="F28" s="5" t="s">
        <v>13</v>
      </c>
      <c r="G28" s="19" t="s">
        <v>41</v>
      </c>
      <c r="H28" s="14">
        <v>64000000</v>
      </c>
    </row>
    <row r="29" spans="1:8" ht="15" x14ac:dyDescent="0.45">
      <c r="A29" s="18">
        <v>46</v>
      </c>
      <c r="B29" s="6" t="s">
        <v>42</v>
      </c>
      <c r="C29" s="4" t="s">
        <v>1</v>
      </c>
      <c r="D29" s="4"/>
      <c r="E29" s="7" t="s">
        <v>44</v>
      </c>
      <c r="F29" s="7" t="s">
        <v>13</v>
      </c>
      <c r="G29" s="19" t="s">
        <v>43</v>
      </c>
      <c r="H29" s="14">
        <v>374728570</v>
      </c>
    </row>
    <row r="30" spans="1:8" ht="15" x14ac:dyDescent="0.45">
      <c r="A30" s="18">
        <v>47</v>
      </c>
      <c r="B30" s="3" t="s">
        <v>42</v>
      </c>
      <c r="C30" s="4" t="s">
        <v>5</v>
      </c>
      <c r="D30" s="4"/>
      <c r="E30" s="5" t="s">
        <v>44</v>
      </c>
      <c r="F30" s="5" t="s">
        <v>13</v>
      </c>
      <c r="G30" s="19" t="s">
        <v>45</v>
      </c>
      <c r="H30" s="14">
        <v>187050420</v>
      </c>
    </row>
    <row r="31" spans="1:8" ht="15" x14ac:dyDescent="0.45">
      <c r="A31" s="18">
        <v>48</v>
      </c>
      <c r="B31" s="3" t="s">
        <v>42</v>
      </c>
      <c r="C31" s="4" t="s">
        <v>17</v>
      </c>
      <c r="D31" s="4">
        <v>1</v>
      </c>
      <c r="E31" s="5" t="s">
        <v>47</v>
      </c>
      <c r="F31" s="5" t="s">
        <v>13</v>
      </c>
      <c r="G31" s="19" t="s">
        <v>46</v>
      </c>
      <c r="H31" s="14">
        <v>100000000</v>
      </c>
    </row>
    <row r="32" spans="1:8" ht="15" x14ac:dyDescent="0.45">
      <c r="A32" s="18">
        <v>177</v>
      </c>
      <c r="B32" s="3" t="s">
        <v>42</v>
      </c>
      <c r="C32" s="4" t="s">
        <v>17</v>
      </c>
      <c r="D32" s="4">
        <v>2</v>
      </c>
      <c r="E32" s="5" t="s">
        <v>47</v>
      </c>
      <c r="F32" s="5" t="s">
        <v>13</v>
      </c>
      <c r="G32" s="19" t="s">
        <v>48</v>
      </c>
      <c r="H32" s="14">
        <v>100000000</v>
      </c>
    </row>
    <row r="33" spans="1:8" ht="15" x14ac:dyDescent="0.45">
      <c r="A33" s="18">
        <v>178</v>
      </c>
      <c r="B33" s="3" t="s">
        <v>42</v>
      </c>
      <c r="C33" s="4" t="s">
        <v>17</v>
      </c>
      <c r="D33" s="4">
        <v>3</v>
      </c>
      <c r="E33" s="5" t="s">
        <v>47</v>
      </c>
      <c r="F33" s="5" t="s">
        <v>13</v>
      </c>
      <c r="G33" s="19" t="s">
        <v>49</v>
      </c>
      <c r="H33" s="14">
        <v>100000000</v>
      </c>
    </row>
    <row r="34" spans="1:8" ht="15" x14ac:dyDescent="0.45">
      <c r="A34" s="18">
        <v>49</v>
      </c>
      <c r="B34" s="6" t="s">
        <v>42</v>
      </c>
      <c r="C34" s="4" t="s">
        <v>7</v>
      </c>
      <c r="D34" s="4"/>
      <c r="E34" s="5" t="s">
        <v>51</v>
      </c>
      <c r="F34" s="5" t="s">
        <v>13</v>
      </c>
      <c r="G34" s="19" t="s">
        <v>50</v>
      </c>
      <c r="H34" s="14">
        <v>242310000</v>
      </c>
    </row>
    <row r="35" spans="1:8" ht="15" x14ac:dyDescent="0.45">
      <c r="A35" s="18">
        <v>50</v>
      </c>
      <c r="B35" s="6" t="s">
        <v>42</v>
      </c>
      <c r="C35" s="4" t="s">
        <v>9</v>
      </c>
      <c r="D35" s="4"/>
      <c r="E35" s="7" t="s">
        <v>4</v>
      </c>
      <c r="F35" s="7" t="s">
        <v>13</v>
      </c>
      <c r="G35" s="19" t="s">
        <v>52</v>
      </c>
      <c r="H35" s="14">
        <v>47951280</v>
      </c>
    </row>
    <row r="36" spans="1:8" ht="15" x14ac:dyDescent="0.45">
      <c r="A36" s="18">
        <v>51</v>
      </c>
      <c r="B36" s="6" t="s">
        <v>42</v>
      </c>
      <c r="C36" s="4" t="s">
        <v>11</v>
      </c>
      <c r="D36" s="4"/>
      <c r="E36" s="7" t="s">
        <v>54</v>
      </c>
      <c r="F36" s="7" t="s">
        <v>13</v>
      </c>
      <c r="G36" s="19" t="s">
        <v>53</v>
      </c>
      <c r="H36" s="14">
        <v>85000000</v>
      </c>
    </row>
    <row r="37" spans="1:8" ht="15" x14ac:dyDescent="0.45">
      <c r="A37" s="18">
        <v>52</v>
      </c>
      <c r="B37" s="6" t="s">
        <v>42</v>
      </c>
      <c r="C37" s="4" t="s">
        <v>55</v>
      </c>
      <c r="D37" s="4"/>
      <c r="E37" s="7" t="s">
        <v>57</v>
      </c>
      <c r="F37" s="7" t="s">
        <v>13</v>
      </c>
      <c r="G37" s="19" t="s">
        <v>56</v>
      </c>
      <c r="H37" s="14">
        <v>851600</v>
      </c>
    </row>
    <row r="38" spans="1:8" ht="15" x14ac:dyDescent="0.45">
      <c r="A38" s="18">
        <v>53</v>
      </c>
      <c r="B38" s="6" t="s">
        <v>42</v>
      </c>
      <c r="C38" s="4" t="s">
        <v>58</v>
      </c>
      <c r="D38" s="4"/>
      <c r="E38" s="7" t="s">
        <v>60</v>
      </c>
      <c r="F38" s="7" t="s">
        <v>13</v>
      </c>
      <c r="G38" s="19" t="s">
        <v>59</v>
      </c>
      <c r="H38" s="14">
        <v>129000000</v>
      </c>
    </row>
    <row r="39" spans="1:8" ht="15" x14ac:dyDescent="0.45">
      <c r="A39" s="18">
        <v>54</v>
      </c>
      <c r="B39" s="6" t="s">
        <v>42</v>
      </c>
      <c r="C39" s="4" t="s">
        <v>61</v>
      </c>
      <c r="D39" s="4"/>
      <c r="E39" s="7" t="s">
        <v>63</v>
      </c>
      <c r="F39" s="7" t="s">
        <v>13</v>
      </c>
      <c r="G39" s="19" t="s">
        <v>62</v>
      </c>
      <c r="H39" s="14">
        <v>12000000</v>
      </c>
    </row>
    <row r="40" spans="1:8" ht="15" x14ac:dyDescent="0.45">
      <c r="A40" s="18">
        <v>55</v>
      </c>
      <c r="B40" s="6" t="s">
        <v>42</v>
      </c>
      <c r="C40" s="4" t="s">
        <v>64</v>
      </c>
      <c r="D40" s="4"/>
      <c r="E40" s="7" t="s">
        <v>66</v>
      </c>
      <c r="F40" s="7" t="s">
        <v>13</v>
      </c>
      <c r="G40" s="19" t="s">
        <v>65</v>
      </c>
      <c r="H40" s="14">
        <v>10000000</v>
      </c>
    </row>
    <row r="41" spans="1:8" ht="15" x14ac:dyDescent="0.45">
      <c r="A41" s="18">
        <v>56</v>
      </c>
      <c r="B41" s="3" t="s">
        <v>42</v>
      </c>
      <c r="C41" s="4" t="s">
        <v>67</v>
      </c>
      <c r="D41" s="4"/>
      <c r="E41" s="5" t="s">
        <v>44</v>
      </c>
      <c r="F41" s="5" t="s">
        <v>13</v>
      </c>
      <c r="G41" s="19" t="s">
        <v>68</v>
      </c>
      <c r="H41" s="14">
        <v>94000000</v>
      </c>
    </row>
    <row r="42" spans="1:8" ht="15" x14ac:dyDescent="0.45">
      <c r="A42" s="18">
        <v>57</v>
      </c>
      <c r="B42" s="6" t="s">
        <v>42</v>
      </c>
      <c r="C42" s="4" t="s">
        <v>69</v>
      </c>
      <c r="D42" s="4"/>
      <c r="E42" s="7" t="s">
        <v>44</v>
      </c>
      <c r="F42" s="7" t="s">
        <v>13</v>
      </c>
      <c r="G42" s="19" t="s">
        <v>70</v>
      </c>
      <c r="H42" s="14">
        <v>100000000</v>
      </c>
    </row>
    <row r="43" spans="1:8" ht="15" x14ac:dyDescent="0.45">
      <c r="A43" s="18">
        <v>58</v>
      </c>
      <c r="B43" s="6" t="s">
        <v>42</v>
      </c>
      <c r="C43" s="4" t="s">
        <v>71</v>
      </c>
      <c r="D43" s="4"/>
      <c r="E43" s="7" t="s">
        <v>44</v>
      </c>
      <c r="F43" s="7" t="s">
        <v>13</v>
      </c>
      <c r="G43" s="19" t="s">
        <v>72</v>
      </c>
      <c r="H43" s="14">
        <v>38530000</v>
      </c>
    </row>
    <row r="44" spans="1:8" ht="15" x14ac:dyDescent="0.45">
      <c r="A44" s="18">
        <v>59</v>
      </c>
      <c r="B44" s="6" t="s">
        <v>42</v>
      </c>
      <c r="C44" s="4" t="s">
        <v>73</v>
      </c>
      <c r="D44" s="4"/>
      <c r="E44" s="7" t="s">
        <v>44</v>
      </c>
      <c r="F44" s="7" t="s">
        <v>13</v>
      </c>
      <c r="G44" s="19" t="s">
        <v>74</v>
      </c>
      <c r="H44" s="14">
        <v>18393501</v>
      </c>
    </row>
    <row r="45" spans="1:8" ht="15" x14ac:dyDescent="0.45">
      <c r="A45" s="18">
        <v>60</v>
      </c>
      <c r="B45" s="6" t="s">
        <v>42</v>
      </c>
      <c r="C45" s="4" t="s">
        <v>75</v>
      </c>
      <c r="D45" s="4"/>
      <c r="E45" s="7" t="s">
        <v>44</v>
      </c>
      <c r="F45" s="7" t="s">
        <v>13</v>
      </c>
      <c r="G45" s="19" t="s">
        <v>76</v>
      </c>
      <c r="H45" s="15">
        <v>11310000</v>
      </c>
    </row>
    <row r="46" spans="1:8" ht="15" x14ac:dyDescent="0.45">
      <c r="A46" s="18">
        <v>61</v>
      </c>
      <c r="B46" s="6" t="s">
        <v>42</v>
      </c>
      <c r="C46" s="4" t="s">
        <v>77</v>
      </c>
      <c r="D46" s="4"/>
      <c r="E46" s="5" t="s">
        <v>66</v>
      </c>
      <c r="F46" s="5" t="s">
        <v>13</v>
      </c>
      <c r="G46" s="19" t="s">
        <v>78</v>
      </c>
      <c r="H46" s="14">
        <v>20000000</v>
      </c>
    </row>
    <row r="47" spans="1:8" ht="15" x14ac:dyDescent="0.45">
      <c r="A47" s="18">
        <v>62</v>
      </c>
      <c r="B47" s="6" t="s">
        <v>42</v>
      </c>
      <c r="C47" s="4" t="s">
        <v>79</v>
      </c>
      <c r="D47" s="4"/>
      <c r="E47" s="7" t="s">
        <v>44</v>
      </c>
      <c r="F47" s="7" t="s">
        <v>13</v>
      </c>
      <c r="G47" s="19" t="s">
        <v>80</v>
      </c>
      <c r="H47" s="14">
        <v>22624468</v>
      </c>
    </row>
    <row r="48" spans="1:8" ht="15" x14ac:dyDescent="0.45">
      <c r="A48" s="18">
        <v>63</v>
      </c>
      <c r="B48" s="6" t="s">
        <v>42</v>
      </c>
      <c r="C48" s="4" t="s">
        <v>81</v>
      </c>
      <c r="D48" s="4"/>
      <c r="E48" s="7" t="s">
        <v>44</v>
      </c>
      <c r="F48" s="7" t="s">
        <v>3</v>
      </c>
      <c r="G48" s="19" t="s">
        <v>82</v>
      </c>
      <c r="H48" s="15">
        <v>14800000</v>
      </c>
    </row>
    <row r="49" spans="1:8" ht="15" x14ac:dyDescent="0.45">
      <c r="A49" s="18">
        <v>64</v>
      </c>
      <c r="B49" s="6" t="s">
        <v>42</v>
      </c>
      <c r="C49" s="4" t="s">
        <v>83</v>
      </c>
      <c r="D49" s="4"/>
      <c r="E49" s="7" t="s">
        <v>44</v>
      </c>
      <c r="F49" s="7" t="s">
        <v>13</v>
      </c>
      <c r="G49" s="19" t="s">
        <v>84</v>
      </c>
      <c r="H49" s="14">
        <v>19000000</v>
      </c>
    </row>
    <row r="50" spans="1:8" ht="15" x14ac:dyDescent="0.45">
      <c r="A50" s="18">
        <v>65</v>
      </c>
      <c r="B50" s="6" t="s">
        <v>85</v>
      </c>
      <c r="C50" s="4" t="s">
        <v>1</v>
      </c>
      <c r="D50" s="4"/>
      <c r="E50" s="5" t="s">
        <v>87</v>
      </c>
      <c r="F50" s="5" t="s">
        <v>13</v>
      </c>
      <c r="G50" s="19" t="s">
        <v>86</v>
      </c>
      <c r="H50" s="14">
        <v>7000000</v>
      </c>
    </row>
    <row r="51" spans="1:8" ht="15" x14ac:dyDescent="0.45">
      <c r="A51" s="18">
        <v>66</v>
      </c>
      <c r="B51" s="6" t="s">
        <v>85</v>
      </c>
      <c r="C51" s="4" t="s">
        <v>5</v>
      </c>
      <c r="D51" s="4"/>
      <c r="E51" s="7" t="s">
        <v>87</v>
      </c>
      <c r="F51" s="7" t="s">
        <v>13</v>
      </c>
      <c r="G51" s="19" t="s">
        <v>88</v>
      </c>
      <c r="H51" s="14">
        <v>196400000</v>
      </c>
    </row>
    <row r="52" spans="1:8" ht="15" x14ac:dyDescent="0.45">
      <c r="A52" s="18">
        <v>67</v>
      </c>
      <c r="B52" s="3" t="s">
        <v>85</v>
      </c>
      <c r="C52" s="4" t="s">
        <v>17</v>
      </c>
      <c r="D52" s="4"/>
      <c r="E52" s="5" t="s">
        <v>87</v>
      </c>
      <c r="F52" s="5" t="s">
        <v>13</v>
      </c>
      <c r="G52" s="19" t="s">
        <v>89</v>
      </c>
      <c r="H52" s="14">
        <v>88000000</v>
      </c>
    </row>
    <row r="53" spans="1:8" ht="15" x14ac:dyDescent="0.45">
      <c r="A53" s="18">
        <v>68</v>
      </c>
      <c r="B53" s="3" t="s">
        <v>85</v>
      </c>
      <c r="C53" s="4" t="s">
        <v>7</v>
      </c>
      <c r="D53" s="4"/>
      <c r="E53" s="7" t="s">
        <v>87</v>
      </c>
      <c r="F53" s="7" t="s">
        <v>13</v>
      </c>
      <c r="G53" s="19" t="s">
        <v>90</v>
      </c>
      <c r="H53" s="14">
        <v>61999999</v>
      </c>
    </row>
    <row r="54" spans="1:8" ht="15" x14ac:dyDescent="0.45">
      <c r="A54" s="18">
        <v>69</v>
      </c>
      <c r="B54" s="3" t="s">
        <v>85</v>
      </c>
      <c r="C54" s="4" t="s">
        <v>9</v>
      </c>
      <c r="D54" s="4"/>
      <c r="E54" s="5" t="s">
        <v>87</v>
      </c>
      <c r="F54" s="5" t="s">
        <v>13</v>
      </c>
      <c r="G54" s="19" t="s">
        <v>91</v>
      </c>
      <c r="H54" s="14">
        <v>4000000</v>
      </c>
    </row>
    <row r="55" spans="1:8" ht="15" x14ac:dyDescent="0.45">
      <c r="A55" s="18">
        <v>70</v>
      </c>
      <c r="B55" s="3" t="s">
        <v>85</v>
      </c>
      <c r="C55" s="4" t="s">
        <v>11</v>
      </c>
      <c r="D55" s="4"/>
      <c r="E55" s="5" t="s">
        <v>87</v>
      </c>
      <c r="F55" s="7" t="s">
        <v>13</v>
      </c>
      <c r="G55" s="19" t="s">
        <v>92</v>
      </c>
      <c r="H55" s="14">
        <v>400000</v>
      </c>
    </row>
    <row r="56" spans="1:8" ht="15" x14ac:dyDescent="0.45">
      <c r="A56" s="18">
        <v>71</v>
      </c>
      <c r="B56" s="3" t="s">
        <v>85</v>
      </c>
      <c r="C56" s="4" t="s">
        <v>55</v>
      </c>
      <c r="D56" s="4"/>
      <c r="E56" s="7" t="s">
        <v>87</v>
      </c>
      <c r="F56" s="7" t="s">
        <v>13</v>
      </c>
      <c r="G56" s="19" t="s">
        <v>93</v>
      </c>
      <c r="H56" s="14">
        <v>4000000</v>
      </c>
    </row>
    <row r="57" spans="1:8" ht="15" x14ac:dyDescent="0.45">
      <c r="A57" s="18">
        <v>72</v>
      </c>
      <c r="B57" s="6" t="s">
        <v>85</v>
      </c>
      <c r="C57" s="4" t="s">
        <v>58</v>
      </c>
      <c r="D57" s="4"/>
      <c r="E57" s="7" t="s">
        <v>87</v>
      </c>
      <c r="F57" s="7" t="s">
        <v>13</v>
      </c>
      <c r="G57" s="19" t="s">
        <v>94</v>
      </c>
      <c r="H57" s="14">
        <v>10000000</v>
      </c>
    </row>
    <row r="58" spans="1:8" ht="15" x14ac:dyDescent="0.45">
      <c r="A58" s="18">
        <v>74</v>
      </c>
      <c r="B58" s="3" t="s">
        <v>85</v>
      </c>
      <c r="C58" s="4" t="s">
        <v>61</v>
      </c>
      <c r="D58" s="4"/>
      <c r="E58" s="5" t="s">
        <v>54</v>
      </c>
      <c r="F58" s="7" t="s">
        <v>13</v>
      </c>
      <c r="G58" s="19" t="s">
        <v>95</v>
      </c>
      <c r="H58" s="14">
        <v>19250597</v>
      </c>
    </row>
    <row r="59" spans="1:8" ht="15" x14ac:dyDescent="0.45">
      <c r="A59" s="18">
        <v>75</v>
      </c>
      <c r="B59" s="6" t="s">
        <v>85</v>
      </c>
      <c r="C59" s="9" t="s">
        <v>64</v>
      </c>
      <c r="D59" s="9"/>
      <c r="E59" s="5" t="s">
        <v>54</v>
      </c>
      <c r="F59" s="5" t="s">
        <v>13</v>
      </c>
      <c r="G59" s="19" t="s">
        <v>96</v>
      </c>
      <c r="H59" s="14">
        <v>61881919</v>
      </c>
    </row>
    <row r="60" spans="1:8" ht="15" x14ac:dyDescent="0.45">
      <c r="A60" s="18">
        <v>179</v>
      </c>
      <c r="B60" s="6" t="s">
        <v>85</v>
      </c>
      <c r="C60" s="4" t="s">
        <v>67</v>
      </c>
      <c r="D60" s="4"/>
      <c r="E60" s="7" t="s">
        <v>87</v>
      </c>
      <c r="F60" s="7" t="s">
        <v>3</v>
      </c>
      <c r="G60" s="19" t="s">
        <v>97</v>
      </c>
      <c r="H60" s="15">
        <v>100000000</v>
      </c>
    </row>
    <row r="61" spans="1:8" ht="15" x14ac:dyDescent="0.45">
      <c r="A61" s="18">
        <v>77</v>
      </c>
      <c r="B61" s="6" t="s">
        <v>98</v>
      </c>
      <c r="C61" s="4" t="s">
        <v>1</v>
      </c>
      <c r="D61" s="4"/>
      <c r="E61" s="7" t="s">
        <v>44</v>
      </c>
      <c r="F61" s="7" t="s">
        <v>3</v>
      </c>
      <c r="G61" s="19" t="s">
        <v>99</v>
      </c>
      <c r="H61" s="14">
        <v>5297170</v>
      </c>
    </row>
    <row r="62" spans="1:8" ht="15" x14ac:dyDescent="0.45">
      <c r="A62" s="18">
        <v>153</v>
      </c>
      <c r="B62" s="6" t="s">
        <v>98</v>
      </c>
      <c r="C62" s="4" t="s">
        <v>5</v>
      </c>
      <c r="D62" s="4">
        <v>1</v>
      </c>
      <c r="E62" s="7" t="s">
        <v>63</v>
      </c>
      <c r="F62" s="7" t="s">
        <v>3</v>
      </c>
      <c r="G62" s="19" t="s">
        <v>100</v>
      </c>
      <c r="H62" s="14">
        <v>1050000000</v>
      </c>
    </row>
    <row r="63" spans="1:8" ht="15" x14ac:dyDescent="0.45">
      <c r="A63" s="18">
        <v>154</v>
      </c>
      <c r="B63" s="6" t="s">
        <v>98</v>
      </c>
      <c r="C63" s="4" t="s">
        <v>5</v>
      </c>
      <c r="D63" s="4">
        <v>2</v>
      </c>
      <c r="E63" s="7" t="s">
        <v>63</v>
      </c>
      <c r="F63" s="7" t="s">
        <v>13</v>
      </c>
      <c r="G63" s="19" t="s">
        <v>101</v>
      </c>
      <c r="H63" s="14">
        <v>200000000</v>
      </c>
    </row>
    <row r="64" spans="1:8" ht="15" x14ac:dyDescent="0.45">
      <c r="A64" s="18">
        <v>158</v>
      </c>
      <c r="B64" s="6" t="s">
        <v>98</v>
      </c>
      <c r="C64" s="4" t="s">
        <v>17</v>
      </c>
      <c r="D64" s="4">
        <v>1</v>
      </c>
      <c r="E64" s="7" t="s">
        <v>63</v>
      </c>
      <c r="F64" s="7" t="s">
        <v>13</v>
      </c>
      <c r="G64" s="19" t="s">
        <v>102</v>
      </c>
      <c r="H64" s="14">
        <v>256500000</v>
      </c>
    </row>
    <row r="65" spans="1:8" ht="15" x14ac:dyDescent="0.45">
      <c r="A65" s="18">
        <v>159</v>
      </c>
      <c r="B65" s="6" t="s">
        <v>98</v>
      </c>
      <c r="C65" s="4" t="s">
        <v>17</v>
      </c>
      <c r="D65" s="4">
        <v>2</v>
      </c>
      <c r="E65" s="7" t="s">
        <v>63</v>
      </c>
      <c r="F65" s="7" t="s">
        <v>3</v>
      </c>
      <c r="G65" s="19" t="s">
        <v>102</v>
      </c>
      <c r="H65" s="14">
        <v>600000</v>
      </c>
    </row>
    <row r="66" spans="1:8" ht="15" x14ac:dyDescent="0.45">
      <c r="A66" s="18">
        <v>85</v>
      </c>
      <c r="B66" s="6" t="s">
        <v>98</v>
      </c>
      <c r="C66" s="4" t="s">
        <v>7</v>
      </c>
      <c r="D66" s="4"/>
      <c r="E66" s="7" t="s">
        <v>63</v>
      </c>
      <c r="F66" s="7" t="s">
        <v>3</v>
      </c>
      <c r="G66" s="19" t="s">
        <v>103</v>
      </c>
      <c r="H66" s="14">
        <v>400000000</v>
      </c>
    </row>
    <row r="67" spans="1:8" ht="15" x14ac:dyDescent="0.45">
      <c r="A67" s="18">
        <v>87</v>
      </c>
      <c r="B67" s="6" t="s">
        <v>98</v>
      </c>
      <c r="C67" s="4" t="s">
        <v>9</v>
      </c>
      <c r="D67" s="4"/>
      <c r="E67" s="7" t="s">
        <v>105</v>
      </c>
      <c r="F67" s="7" t="s">
        <v>13</v>
      </c>
      <c r="G67" s="19" t="s">
        <v>104</v>
      </c>
      <c r="H67" s="14">
        <v>25000000</v>
      </c>
    </row>
    <row r="68" spans="1:8" ht="15" x14ac:dyDescent="0.45">
      <c r="A68" s="18">
        <v>90</v>
      </c>
      <c r="B68" s="6" t="s">
        <v>98</v>
      </c>
      <c r="C68" s="4" t="s">
        <v>58</v>
      </c>
      <c r="D68" s="4"/>
      <c r="E68" s="7" t="s">
        <v>105</v>
      </c>
      <c r="F68" s="5" t="s">
        <v>13</v>
      </c>
      <c r="G68" s="19" t="s">
        <v>106</v>
      </c>
      <c r="H68" s="14">
        <v>183000000</v>
      </c>
    </row>
    <row r="69" spans="1:8" ht="15" x14ac:dyDescent="0.45">
      <c r="A69" s="18">
        <v>91</v>
      </c>
      <c r="B69" s="6" t="s">
        <v>98</v>
      </c>
      <c r="C69" s="4" t="s">
        <v>61</v>
      </c>
      <c r="D69" s="4"/>
      <c r="E69" s="7" t="s">
        <v>105</v>
      </c>
      <c r="F69" s="5" t="s">
        <v>13</v>
      </c>
      <c r="G69" s="19" t="s">
        <v>107</v>
      </c>
      <c r="H69" s="14">
        <v>1600000</v>
      </c>
    </row>
    <row r="70" spans="1:8" ht="15" x14ac:dyDescent="0.45">
      <c r="A70" s="18">
        <v>92</v>
      </c>
      <c r="B70" s="6" t="s">
        <v>98</v>
      </c>
      <c r="C70" s="4" t="s">
        <v>64</v>
      </c>
      <c r="D70" s="4"/>
      <c r="E70" s="7" t="s">
        <v>105</v>
      </c>
      <c r="F70" s="5" t="s">
        <v>13</v>
      </c>
      <c r="G70" s="19" t="s">
        <v>108</v>
      </c>
      <c r="H70" s="14">
        <v>4000000</v>
      </c>
    </row>
    <row r="71" spans="1:8" ht="15" x14ac:dyDescent="0.45">
      <c r="A71" s="18">
        <v>93</v>
      </c>
      <c r="B71" s="6" t="s">
        <v>109</v>
      </c>
      <c r="C71" s="4" t="s">
        <v>1</v>
      </c>
      <c r="D71" s="4"/>
      <c r="E71" s="7" t="s">
        <v>33</v>
      </c>
      <c r="F71" s="7" t="s">
        <v>13</v>
      </c>
      <c r="G71" s="19" t="s">
        <v>110</v>
      </c>
      <c r="H71" s="14">
        <v>904000000</v>
      </c>
    </row>
    <row r="72" spans="1:8" ht="15" x14ac:dyDescent="0.45">
      <c r="A72" s="18">
        <v>94</v>
      </c>
      <c r="B72" s="6" t="s">
        <v>109</v>
      </c>
      <c r="C72" s="4" t="s">
        <v>5</v>
      </c>
      <c r="D72" s="4"/>
      <c r="E72" s="7" t="s">
        <v>33</v>
      </c>
      <c r="F72" s="7" t="s">
        <v>3</v>
      </c>
      <c r="G72" s="19" t="s">
        <v>111</v>
      </c>
      <c r="H72" s="14">
        <v>145341508</v>
      </c>
    </row>
    <row r="73" spans="1:8" ht="15" x14ac:dyDescent="0.45">
      <c r="A73" s="18">
        <v>95</v>
      </c>
      <c r="B73" s="6" t="s">
        <v>109</v>
      </c>
      <c r="C73" s="4" t="s">
        <v>17</v>
      </c>
      <c r="D73" s="4">
        <v>1</v>
      </c>
      <c r="E73" s="7" t="s">
        <v>33</v>
      </c>
      <c r="F73" s="7" t="s">
        <v>3</v>
      </c>
      <c r="G73" s="19" t="s">
        <v>112</v>
      </c>
      <c r="H73" s="14">
        <v>287500000</v>
      </c>
    </row>
    <row r="74" spans="1:8" ht="15" x14ac:dyDescent="0.45">
      <c r="A74" s="18">
        <v>180</v>
      </c>
      <c r="B74" s="6" t="s">
        <v>109</v>
      </c>
      <c r="C74" s="4" t="s">
        <v>17</v>
      </c>
      <c r="D74" s="4">
        <v>2</v>
      </c>
      <c r="E74" s="7" t="s">
        <v>33</v>
      </c>
      <c r="F74" s="7" t="s">
        <v>13</v>
      </c>
      <c r="G74" s="19" t="s">
        <v>112</v>
      </c>
      <c r="H74" s="14">
        <v>287500000</v>
      </c>
    </row>
    <row r="75" spans="1:8" ht="15" x14ac:dyDescent="0.45">
      <c r="A75" s="18">
        <v>96</v>
      </c>
      <c r="B75" s="6" t="s">
        <v>109</v>
      </c>
      <c r="C75" s="4" t="s">
        <v>7</v>
      </c>
      <c r="D75" s="4"/>
      <c r="E75" s="5" t="s">
        <v>33</v>
      </c>
      <c r="F75" s="7" t="s">
        <v>3</v>
      </c>
      <c r="G75" s="19" t="s">
        <v>113</v>
      </c>
      <c r="H75" s="14">
        <v>25197281</v>
      </c>
    </row>
    <row r="76" spans="1:8" ht="15" x14ac:dyDescent="0.45">
      <c r="A76" s="18">
        <v>98</v>
      </c>
      <c r="B76" s="6" t="s">
        <v>114</v>
      </c>
      <c r="C76" s="4" t="s">
        <v>1</v>
      </c>
      <c r="D76" s="4"/>
      <c r="E76" s="7" t="s">
        <v>63</v>
      </c>
      <c r="F76" s="7" t="s">
        <v>3</v>
      </c>
      <c r="G76" s="19" t="s">
        <v>115</v>
      </c>
      <c r="H76" s="21">
        <v>102085000</v>
      </c>
    </row>
    <row r="77" spans="1:8" ht="15" x14ac:dyDescent="0.45">
      <c r="A77" s="18">
        <v>99</v>
      </c>
      <c r="B77" s="3" t="s">
        <v>114</v>
      </c>
      <c r="C77" s="4" t="s">
        <v>5</v>
      </c>
      <c r="D77" s="4"/>
      <c r="E77" s="5" t="s">
        <v>63</v>
      </c>
      <c r="F77" s="5" t="s">
        <v>3</v>
      </c>
      <c r="G77" s="19" t="s">
        <v>116</v>
      </c>
      <c r="H77" s="14">
        <v>34728928</v>
      </c>
    </row>
    <row r="78" spans="1:8" ht="15" x14ac:dyDescent="0.45">
      <c r="A78" s="18">
        <v>100</v>
      </c>
      <c r="B78" s="3" t="s">
        <v>114</v>
      </c>
      <c r="C78" s="4" t="s">
        <v>17</v>
      </c>
      <c r="D78" s="4"/>
      <c r="E78" s="5" t="s">
        <v>33</v>
      </c>
      <c r="F78" s="5" t="s">
        <v>13</v>
      </c>
      <c r="G78" s="19" t="s">
        <v>117</v>
      </c>
      <c r="H78" s="14">
        <v>1500000</v>
      </c>
    </row>
    <row r="79" spans="1:8" ht="15" x14ac:dyDescent="0.45">
      <c r="A79" s="18">
        <v>101</v>
      </c>
      <c r="B79" s="3" t="s">
        <v>114</v>
      </c>
      <c r="C79" s="4" t="s">
        <v>7</v>
      </c>
      <c r="D79" s="4"/>
      <c r="E79" s="5" t="s">
        <v>33</v>
      </c>
      <c r="F79" s="5" t="s">
        <v>3</v>
      </c>
      <c r="G79" s="19" t="s">
        <v>118</v>
      </c>
      <c r="H79" s="15">
        <v>24302153</v>
      </c>
    </row>
    <row r="80" spans="1:8" ht="15" x14ac:dyDescent="0.45">
      <c r="A80" s="18">
        <v>103</v>
      </c>
      <c r="B80" s="6" t="s">
        <v>114</v>
      </c>
      <c r="C80" s="4" t="s">
        <v>9</v>
      </c>
      <c r="D80" s="4"/>
      <c r="E80" s="7" t="s">
        <v>36</v>
      </c>
      <c r="F80" s="7" t="s">
        <v>13</v>
      </c>
      <c r="G80" s="19" t="s">
        <v>119</v>
      </c>
      <c r="H80" s="14">
        <v>7790000</v>
      </c>
    </row>
    <row r="81" spans="1:8" ht="15" x14ac:dyDescent="0.45">
      <c r="A81" s="18">
        <v>104</v>
      </c>
      <c r="B81" s="6" t="s">
        <v>114</v>
      </c>
      <c r="C81" s="4" t="s">
        <v>11</v>
      </c>
      <c r="D81" s="4"/>
      <c r="E81" s="7" t="s">
        <v>36</v>
      </c>
      <c r="F81" s="7" t="s">
        <v>13</v>
      </c>
      <c r="G81" s="19" t="s">
        <v>120</v>
      </c>
      <c r="H81" s="14">
        <v>3750000</v>
      </c>
    </row>
    <row r="82" spans="1:8" ht="15" x14ac:dyDescent="0.45">
      <c r="A82" s="18">
        <v>105</v>
      </c>
      <c r="B82" s="6" t="s">
        <v>114</v>
      </c>
      <c r="C82" s="4" t="s">
        <v>55</v>
      </c>
      <c r="D82" s="4"/>
      <c r="E82" s="5" t="s">
        <v>36</v>
      </c>
      <c r="F82" s="5" t="s">
        <v>13</v>
      </c>
      <c r="G82" s="19" t="s">
        <v>121</v>
      </c>
      <c r="H82" s="16">
        <v>5460000</v>
      </c>
    </row>
    <row r="83" spans="1:8" ht="15" x14ac:dyDescent="0.45">
      <c r="A83" s="18">
        <v>109</v>
      </c>
      <c r="B83" s="3" t="s">
        <v>122</v>
      </c>
      <c r="C83" s="4" t="s">
        <v>1</v>
      </c>
      <c r="D83" s="4">
        <v>1</v>
      </c>
      <c r="E83" s="5" t="s">
        <v>47</v>
      </c>
      <c r="F83" s="5" t="s">
        <v>13</v>
      </c>
      <c r="G83" s="19" t="s">
        <v>123</v>
      </c>
      <c r="H83" s="14">
        <v>120250000</v>
      </c>
    </row>
    <row r="84" spans="1:8" ht="15" x14ac:dyDescent="0.45">
      <c r="A84" s="18">
        <v>181</v>
      </c>
      <c r="B84" s="3" t="s">
        <v>122</v>
      </c>
      <c r="C84" s="4" t="s">
        <v>1</v>
      </c>
      <c r="D84" s="4">
        <v>3</v>
      </c>
      <c r="E84" s="5" t="s">
        <v>47</v>
      </c>
      <c r="F84" s="5" t="s">
        <v>13</v>
      </c>
      <c r="G84" s="19" t="s">
        <v>124</v>
      </c>
      <c r="H84" s="15">
        <v>80250000</v>
      </c>
    </row>
    <row r="85" spans="1:8" ht="15" x14ac:dyDescent="0.45">
      <c r="A85" s="18">
        <v>182</v>
      </c>
      <c r="B85" s="3" t="s">
        <v>122</v>
      </c>
      <c r="C85" s="4" t="s">
        <v>1</v>
      </c>
      <c r="D85" s="4">
        <v>4</v>
      </c>
      <c r="E85" s="5" t="s">
        <v>47</v>
      </c>
      <c r="F85" s="5" t="s">
        <v>13</v>
      </c>
      <c r="G85" s="19" t="s">
        <v>125</v>
      </c>
      <c r="H85" s="14">
        <v>10854000</v>
      </c>
    </row>
    <row r="86" spans="1:8" ht="15" x14ac:dyDescent="0.45">
      <c r="A86" s="18">
        <v>183</v>
      </c>
      <c r="B86" s="3" t="s">
        <v>122</v>
      </c>
      <c r="C86" s="4" t="s">
        <v>1</v>
      </c>
      <c r="D86" s="4">
        <v>5</v>
      </c>
      <c r="E86" s="5" t="s">
        <v>47</v>
      </c>
      <c r="F86" s="5" t="s">
        <v>13</v>
      </c>
      <c r="G86" s="19" t="s">
        <v>126</v>
      </c>
      <c r="H86" s="14">
        <v>2016807</v>
      </c>
    </row>
    <row r="87" spans="1:8" ht="15" x14ac:dyDescent="0.45">
      <c r="A87" s="18">
        <v>110</v>
      </c>
      <c r="B87" s="3" t="s">
        <v>122</v>
      </c>
      <c r="C87" s="4" t="s">
        <v>5</v>
      </c>
      <c r="D87" s="4" t="s">
        <v>127</v>
      </c>
      <c r="E87" s="5" t="s">
        <v>47</v>
      </c>
      <c r="F87" s="5" t="s">
        <v>13</v>
      </c>
      <c r="G87" s="19" t="s">
        <v>128</v>
      </c>
      <c r="H87" s="15">
        <v>275549474</v>
      </c>
    </row>
    <row r="88" spans="1:8" ht="15" x14ac:dyDescent="0.45">
      <c r="A88" s="18">
        <v>184</v>
      </c>
      <c r="B88" s="3" t="s">
        <v>122</v>
      </c>
      <c r="C88" s="4" t="s">
        <v>5</v>
      </c>
      <c r="D88" s="4" t="s">
        <v>129</v>
      </c>
      <c r="E88" s="5" t="s">
        <v>47</v>
      </c>
      <c r="F88" s="5" t="s">
        <v>3</v>
      </c>
      <c r="G88" s="19" t="s">
        <v>128</v>
      </c>
      <c r="H88" s="14">
        <v>259886530</v>
      </c>
    </row>
    <row r="89" spans="1:8" ht="15" x14ac:dyDescent="0.45">
      <c r="A89" s="18">
        <v>185</v>
      </c>
      <c r="B89" s="3" t="s">
        <v>122</v>
      </c>
      <c r="C89" s="4" t="s">
        <v>5</v>
      </c>
      <c r="D89" s="4">
        <v>3</v>
      </c>
      <c r="E89" s="5" t="s">
        <v>47</v>
      </c>
      <c r="F89" s="5" t="s">
        <v>13</v>
      </c>
      <c r="G89" s="19" t="s">
        <v>130</v>
      </c>
      <c r="H89" s="14">
        <v>74026000</v>
      </c>
    </row>
    <row r="90" spans="1:8" ht="15" x14ac:dyDescent="0.45">
      <c r="A90" s="18">
        <v>186</v>
      </c>
      <c r="B90" s="3" t="s">
        <v>122</v>
      </c>
      <c r="C90" s="4" t="s">
        <v>5</v>
      </c>
      <c r="D90" s="4">
        <v>4</v>
      </c>
      <c r="E90" s="5" t="s">
        <v>47</v>
      </c>
      <c r="F90" s="5" t="s">
        <v>13</v>
      </c>
      <c r="G90" s="19" t="s">
        <v>131</v>
      </c>
      <c r="H90" s="14">
        <v>150380000</v>
      </c>
    </row>
    <row r="91" spans="1:8" ht="15" x14ac:dyDescent="0.45">
      <c r="A91" s="18">
        <v>187</v>
      </c>
      <c r="B91" s="3" t="s">
        <v>122</v>
      </c>
      <c r="C91" s="8" t="s">
        <v>7</v>
      </c>
      <c r="D91" s="8"/>
      <c r="E91" s="5" t="s">
        <v>60</v>
      </c>
      <c r="F91" s="5" t="s">
        <v>3</v>
      </c>
      <c r="G91" s="19" t="s">
        <v>132</v>
      </c>
      <c r="H91" s="21">
        <v>183590800</v>
      </c>
    </row>
    <row r="92" spans="1:8" ht="15" x14ac:dyDescent="0.45">
      <c r="A92" s="18">
        <v>113</v>
      </c>
      <c r="B92" s="6" t="s">
        <v>133</v>
      </c>
      <c r="C92" s="4" t="s">
        <v>1</v>
      </c>
      <c r="D92" s="4"/>
      <c r="E92" s="5" t="s">
        <v>54</v>
      </c>
      <c r="F92" s="5" t="s">
        <v>13</v>
      </c>
      <c r="G92" s="19" t="s">
        <v>134</v>
      </c>
      <c r="H92" s="14">
        <v>48611800</v>
      </c>
    </row>
    <row r="93" spans="1:8" ht="15" x14ac:dyDescent="0.45">
      <c r="A93" s="18">
        <v>114</v>
      </c>
      <c r="B93" s="3" t="s">
        <v>133</v>
      </c>
      <c r="C93" s="4" t="s">
        <v>5</v>
      </c>
      <c r="D93" s="4"/>
      <c r="E93" s="7" t="s">
        <v>54</v>
      </c>
      <c r="F93" s="7" t="s">
        <v>13</v>
      </c>
      <c r="G93" s="19" t="s">
        <v>135</v>
      </c>
      <c r="H93" s="14">
        <v>34032327</v>
      </c>
    </row>
    <row r="94" spans="1:8" ht="15" x14ac:dyDescent="0.45">
      <c r="A94" s="18">
        <v>115</v>
      </c>
      <c r="B94" s="3" t="s">
        <v>133</v>
      </c>
      <c r="C94" s="4" t="s">
        <v>17</v>
      </c>
      <c r="D94" s="4"/>
      <c r="E94" s="7" t="s">
        <v>54</v>
      </c>
      <c r="F94" s="7" t="s">
        <v>13</v>
      </c>
      <c r="G94" s="19" t="s">
        <v>136</v>
      </c>
      <c r="H94" s="14">
        <v>4540000</v>
      </c>
    </row>
    <row r="95" spans="1:8" ht="15" x14ac:dyDescent="0.45">
      <c r="A95" s="18">
        <v>118</v>
      </c>
      <c r="B95" s="6" t="s">
        <v>133</v>
      </c>
      <c r="C95" s="4" t="s">
        <v>7</v>
      </c>
      <c r="D95" s="4"/>
      <c r="E95" s="7" t="s">
        <v>54</v>
      </c>
      <c r="F95" s="7" t="s">
        <v>13</v>
      </c>
      <c r="G95" s="19" t="s">
        <v>137</v>
      </c>
      <c r="H95" s="14">
        <v>77694085</v>
      </c>
    </row>
    <row r="96" spans="1:8" ht="15" x14ac:dyDescent="0.45">
      <c r="A96" s="18">
        <v>129</v>
      </c>
      <c r="B96" s="3" t="s">
        <v>138</v>
      </c>
      <c r="C96" s="4" t="s">
        <v>9</v>
      </c>
      <c r="D96" s="4"/>
      <c r="E96" s="7" t="s">
        <v>63</v>
      </c>
      <c r="F96" s="7" t="s">
        <v>13</v>
      </c>
      <c r="G96" s="19" t="s">
        <v>139</v>
      </c>
      <c r="H96" s="14">
        <v>12841000</v>
      </c>
    </row>
    <row r="97" spans="1:8" ht="15" x14ac:dyDescent="0.45">
      <c r="A97" s="18">
        <v>130</v>
      </c>
      <c r="B97" s="3" t="s">
        <v>140</v>
      </c>
      <c r="C97" s="4" t="s">
        <v>1</v>
      </c>
      <c r="D97" s="4">
        <v>1</v>
      </c>
      <c r="E97" s="7" t="s">
        <v>33</v>
      </c>
      <c r="F97" s="7" t="s">
        <v>13</v>
      </c>
      <c r="G97" s="19" t="s">
        <v>141</v>
      </c>
      <c r="H97" s="15">
        <v>167273000</v>
      </c>
    </row>
    <row r="98" spans="1:8" ht="15" x14ac:dyDescent="0.45">
      <c r="A98" s="18">
        <v>188</v>
      </c>
      <c r="B98" s="3" t="s">
        <v>140</v>
      </c>
      <c r="C98" s="4" t="s">
        <v>1</v>
      </c>
      <c r="D98" s="4">
        <v>2</v>
      </c>
      <c r="E98" s="7" t="s">
        <v>33</v>
      </c>
      <c r="F98" s="7" t="s">
        <v>3</v>
      </c>
      <c r="G98" s="19" t="s">
        <v>141</v>
      </c>
      <c r="H98" s="14">
        <v>62727000</v>
      </c>
    </row>
    <row r="99" spans="1:8" ht="15" x14ac:dyDescent="0.45">
      <c r="A99" s="18">
        <v>131</v>
      </c>
      <c r="B99" s="6" t="s">
        <v>140</v>
      </c>
      <c r="C99" s="4" t="s">
        <v>5</v>
      </c>
      <c r="D99" s="4"/>
      <c r="E99" s="7" t="s">
        <v>143</v>
      </c>
      <c r="F99" s="7" t="s">
        <v>13</v>
      </c>
      <c r="G99" s="19" t="s">
        <v>142</v>
      </c>
      <c r="H99" s="21">
        <v>6236458</v>
      </c>
    </row>
    <row r="100" spans="1:8" ht="15" x14ac:dyDescent="0.45">
      <c r="A100" s="18">
        <v>132</v>
      </c>
      <c r="B100" s="6" t="s">
        <v>140</v>
      </c>
      <c r="C100" s="4" t="s">
        <v>17</v>
      </c>
      <c r="D100" s="4"/>
      <c r="E100" s="7" t="s">
        <v>143</v>
      </c>
      <c r="F100" s="7" t="s">
        <v>13</v>
      </c>
      <c r="G100" s="19" t="s">
        <v>144</v>
      </c>
      <c r="H100" s="14">
        <v>3832000</v>
      </c>
    </row>
    <row r="101" spans="1:8" ht="15" x14ac:dyDescent="0.45">
      <c r="A101" s="18">
        <v>133</v>
      </c>
      <c r="B101" s="3" t="s">
        <v>140</v>
      </c>
      <c r="C101" s="4" t="s">
        <v>7</v>
      </c>
      <c r="D101" s="4"/>
      <c r="E101" s="7" t="s">
        <v>143</v>
      </c>
      <c r="F101" s="5" t="s">
        <v>13</v>
      </c>
      <c r="G101" s="19" t="s">
        <v>145</v>
      </c>
      <c r="H101" s="14">
        <v>460000000</v>
      </c>
    </row>
    <row r="102" spans="1:8" ht="15" x14ac:dyDescent="0.45">
      <c r="A102" s="18">
        <v>134</v>
      </c>
      <c r="B102" s="3" t="s">
        <v>140</v>
      </c>
      <c r="C102" s="4" t="s">
        <v>9</v>
      </c>
      <c r="D102" s="4"/>
      <c r="E102" s="7" t="s">
        <v>143</v>
      </c>
      <c r="F102" s="7" t="s">
        <v>13</v>
      </c>
      <c r="G102" s="19" t="s">
        <v>146</v>
      </c>
      <c r="H102" s="14">
        <v>43000000</v>
      </c>
    </row>
    <row r="103" spans="1:8" ht="15" x14ac:dyDescent="0.45">
      <c r="A103" s="18">
        <v>135</v>
      </c>
      <c r="B103" s="6" t="s">
        <v>140</v>
      </c>
      <c r="C103" s="4" t="s">
        <v>11</v>
      </c>
      <c r="D103" s="4"/>
      <c r="E103" s="7" t="s">
        <v>143</v>
      </c>
      <c r="F103" s="7" t="s">
        <v>13</v>
      </c>
      <c r="G103" s="19" t="s">
        <v>147</v>
      </c>
      <c r="H103" s="14">
        <v>169000000</v>
      </c>
    </row>
    <row r="104" spans="1:8" ht="15" x14ac:dyDescent="0.45">
      <c r="A104" s="18">
        <v>137</v>
      </c>
      <c r="B104" s="6" t="s">
        <v>140</v>
      </c>
      <c r="C104" s="4" t="s">
        <v>58</v>
      </c>
      <c r="D104" s="4"/>
      <c r="E104" s="7" t="s">
        <v>143</v>
      </c>
      <c r="F104" s="7" t="s">
        <v>13</v>
      </c>
      <c r="G104" s="19" t="s">
        <v>148</v>
      </c>
      <c r="H104" s="14">
        <v>80000000</v>
      </c>
    </row>
    <row r="105" spans="1:8" ht="15" x14ac:dyDescent="0.45">
      <c r="A105" s="18">
        <v>138</v>
      </c>
      <c r="B105" s="6" t="s">
        <v>140</v>
      </c>
      <c r="C105" s="4" t="s">
        <v>61</v>
      </c>
      <c r="D105" s="4"/>
      <c r="E105" s="7" t="s">
        <v>143</v>
      </c>
      <c r="F105" s="7" t="s">
        <v>13</v>
      </c>
      <c r="G105" s="19" t="s">
        <v>149</v>
      </c>
      <c r="H105" s="14">
        <v>478500000</v>
      </c>
    </row>
    <row r="106" spans="1:8" ht="15" x14ac:dyDescent="0.45">
      <c r="A106" s="18">
        <v>139</v>
      </c>
      <c r="B106" s="3" t="s">
        <v>140</v>
      </c>
      <c r="C106" s="4" t="s">
        <v>64</v>
      </c>
      <c r="D106" s="4">
        <v>1</v>
      </c>
      <c r="E106" s="7" t="s">
        <v>143</v>
      </c>
      <c r="F106" s="5" t="s">
        <v>13</v>
      </c>
      <c r="G106" s="19" t="s">
        <v>150</v>
      </c>
      <c r="H106" s="14">
        <v>209144630</v>
      </c>
    </row>
    <row r="107" spans="1:8" ht="15" x14ac:dyDescent="0.45">
      <c r="A107" s="18">
        <v>189</v>
      </c>
      <c r="B107" s="3" t="s">
        <v>140</v>
      </c>
      <c r="C107" s="4" t="s">
        <v>64</v>
      </c>
      <c r="D107" s="4">
        <v>2</v>
      </c>
      <c r="E107" s="7" t="s">
        <v>143</v>
      </c>
      <c r="F107" s="5" t="s">
        <v>3</v>
      </c>
      <c r="G107" s="19" t="s">
        <v>150</v>
      </c>
      <c r="H107" s="14">
        <v>52960909</v>
      </c>
    </row>
    <row r="108" spans="1:8" ht="15" x14ac:dyDescent="0.45">
      <c r="A108" s="18">
        <v>140</v>
      </c>
      <c r="B108" s="3" t="s">
        <v>140</v>
      </c>
      <c r="C108" s="4" t="s">
        <v>67</v>
      </c>
      <c r="D108" s="4"/>
      <c r="E108" s="7" t="s">
        <v>143</v>
      </c>
      <c r="F108" s="5" t="s">
        <v>13</v>
      </c>
      <c r="G108" s="19" t="s">
        <v>151</v>
      </c>
      <c r="H108" s="14">
        <v>600000000</v>
      </c>
    </row>
    <row r="109" spans="1:8" ht="15" x14ac:dyDescent="0.45">
      <c r="A109" s="18">
        <v>142</v>
      </c>
      <c r="B109" s="3" t="s">
        <v>140</v>
      </c>
      <c r="C109" s="4" t="s">
        <v>71</v>
      </c>
      <c r="D109" s="4"/>
      <c r="E109" s="7" t="s">
        <v>143</v>
      </c>
      <c r="F109" s="5" t="s">
        <v>3</v>
      </c>
      <c r="G109" s="19" t="s">
        <v>152</v>
      </c>
      <c r="H109" s="14">
        <v>9000000</v>
      </c>
    </row>
    <row r="110" spans="1:8" ht="15" x14ac:dyDescent="0.45">
      <c r="A110" s="18">
        <v>143</v>
      </c>
      <c r="B110" s="6" t="s">
        <v>140</v>
      </c>
      <c r="C110" s="4" t="s">
        <v>73</v>
      </c>
      <c r="D110" s="4"/>
      <c r="E110" s="7" t="s">
        <v>143</v>
      </c>
      <c r="F110" s="7" t="s">
        <v>13</v>
      </c>
      <c r="G110" s="19" t="s">
        <v>153</v>
      </c>
      <c r="H110" s="14">
        <v>50000000</v>
      </c>
    </row>
    <row r="111" spans="1:8" ht="15" x14ac:dyDescent="0.45">
      <c r="A111" s="18">
        <v>145</v>
      </c>
      <c r="B111" s="6" t="s">
        <v>140</v>
      </c>
      <c r="C111" s="4" t="s">
        <v>77</v>
      </c>
      <c r="D111" s="4"/>
      <c r="E111" s="7" t="s">
        <v>143</v>
      </c>
      <c r="F111" s="7" t="s">
        <v>13</v>
      </c>
      <c r="G111" s="19" t="s">
        <v>154</v>
      </c>
      <c r="H111" s="14">
        <v>234000000</v>
      </c>
    </row>
    <row r="112" spans="1:8" ht="15" x14ac:dyDescent="0.45">
      <c r="A112" s="18">
        <v>146</v>
      </c>
      <c r="B112" s="6" t="s">
        <v>140</v>
      </c>
      <c r="C112" s="4" t="s">
        <v>79</v>
      </c>
      <c r="D112" s="4"/>
      <c r="E112" s="7" t="s">
        <v>143</v>
      </c>
      <c r="F112" s="7" t="s">
        <v>3</v>
      </c>
      <c r="G112" s="19" t="s">
        <v>155</v>
      </c>
      <c r="H112" s="14">
        <v>135791094</v>
      </c>
    </row>
    <row r="113" spans="1:8" ht="15" x14ac:dyDescent="0.45">
      <c r="A113" s="18">
        <v>147</v>
      </c>
      <c r="B113" s="6" t="s">
        <v>140</v>
      </c>
      <c r="C113" s="4" t="s">
        <v>81</v>
      </c>
      <c r="D113" s="4"/>
      <c r="E113" s="7" t="s">
        <v>143</v>
      </c>
      <c r="F113" s="7" t="s">
        <v>13</v>
      </c>
      <c r="G113" s="19" t="s">
        <v>156</v>
      </c>
      <c r="H113" s="14">
        <v>30720000</v>
      </c>
    </row>
    <row r="114" spans="1:8" ht="15" x14ac:dyDescent="0.45">
      <c r="A114" s="18">
        <v>161</v>
      </c>
      <c r="B114" s="6" t="s">
        <v>157</v>
      </c>
      <c r="C114" s="4" t="s">
        <v>5</v>
      </c>
      <c r="D114" s="4"/>
      <c r="E114" s="5" t="s">
        <v>176</v>
      </c>
      <c r="F114" s="5" t="s">
        <v>13</v>
      </c>
      <c r="G114" s="19" t="s">
        <v>158</v>
      </c>
      <c r="H114" s="14">
        <v>460000000</v>
      </c>
    </row>
    <row r="115" spans="1:8" ht="15" x14ac:dyDescent="0.45">
      <c r="A115" s="18">
        <v>163</v>
      </c>
      <c r="B115" s="6" t="s">
        <v>157</v>
      </c>
      <c r="C115" s="4" t="s">
        <v>7</v>
      </c>
      <c r="D115" s="4">
        <v>1</v>
      </c>
      <c r="E115" s="7" t="s">
        <v>63</v>
      </c>
      <c r="F115" s="7" t="s">
        <v>13</v>
      </c>
      <c r="G115" s="19" t="s">
        <v>159</v>
      </c>
      <c r="H115" s="14">
        <v>305381134</v>
      </c>
    </row>
    <row r="116" spans="1:8" ht="15" x14ac:dyDescent="0.45">
      <c r="A116" s="18">
        <v>190</v>
      </c>
      <c r="B116" s="6" t="s">
        <v>157</v>
      </c>
      <c r="C116" s="4" t="s">
        <v>7</v>
      </c>
      <c r="D116" s="4">
        <v>2</v>
      </c>
      <c r="E116" s="7" t="s">
        <v>63</v>
      </c>
      <c r="F116" s="7" t="s">
        <v>3</v>
      </c>
      <c r="G116" s="19" t="s">
        <v>159</v>
      </c>
      <c r="H116" s="14">
        <v>305381134</v>
      </c>
    </row>
    <row r="117" spans="1:8" ht="15" x14ac:dyDescent="0.45">
      <c r="A117" s="18">
        <v>164</v>
      </c>
      <c r="B117" s="6" t="s">
        <v>157</v>
      </c>
      <c r="C117" s="4" t="s">
        <v>9</v>
      </c>
      <c r="D117" s="4" t="s">
        <v>127</v>
      </c>
      <c r="E117" s="7" t="s">
        <v>161</v>
      </c>
      <c r="F117" s="7" t="s">
        <v>13</v>
      </c>
      <c r="G117" s="19" t="s">
        <v>160</v>
      </c>
      <c r="H117" s="14">
        <v>29557000</v>
      </c>
    </row>
    <row r="118" spans="1:8" ht="15" x14ac:dyDescent="0.45">
      <c r="A118" s="18">
        <v>191</v>
      </c>
      <c r="B118" s="6" t="s">
        <v>157</v>
      </c>
      <c r="C118" s="4" t="s">
        <v>9</v>
      </c>
      <c r="D118" s="4" t="s">
        <v>129</v>
      </c>
      <c r="E118" s="7" t="s">
        <v>161</v>
      </c>
      <c r="F118" s="7" t="s">
        <v>13</v>
      </c>
      <c r="G118" s="19" t="s">
        <v>162</v>
      </c>
      <c r="H118" s="14">
        <v>13791327</v>
      </c>
    </row>
    <row r="119" spans="1:8" ht="15" x14ac:dyDescent="0.45">
      <c r="A119" s="18">
        <v>192</v>
      </c>
      <c r="B119" s="6" t="s">
        <v>157</v>
      </c>
      <c r="C119" s="4" t="s">
        <v>9</v>
      </c>
      <c r="D119" s="4" t="s">
        <v>163</v>
      </c>
      <c r="E119" s="7" t="s">
        <v>161</v>
      </c>
      <c r="F119" s="7" t="s">
        <v>13</v>
      </c>
      <c r="G119" s="19" t="s">
        <v>164</v>
      </c>
      <c r="H119" s="14">
        <v>8440200</v>
      </c>
    </row>
    <row r="120" spans="1:8" ht="15" x14ac:dyDescent="0.45">
      <c r="A120" s="18">
        <v>166</v>
      </c>
      <c r="B120" s="6" t="s">
        <v>157</v>
      </c>
      <c r="C120" s="4" t="s">
        <v>55</v>
      </c>
      <c r="D120" s="4"/>
      <c r="E120" s="7" t="s">
        <v>63</v>
      </c>
      <c r="F120" s="7" t="s">
        <v>13</v>
      </c>
      <c r="G120" s="19" t="s">
        <v>165</v>
      </c>
      <c r="H120" s="14">
        <v>269690200</v>
      </c>
    </row>
    <row r="121" spans="1:8" ht="15" x14ac:dyDescent="0.45">
      <c r="A121" s="18">
        <v>193</v>
      </c>
      <c r="B121" s="6" t="s">
        <v>157</v>
      </c>
      <c r="C121" s="4" t="s">
        <v>58</v>
      </c>
      <c r="D121" s="4"/>
      <c r="E121" s="7" t="s">
        <v>176</v>
      </c>
      <c r="F121" s="7" t="s">
        <v>13</v>
      </c>
      <c r="G121" s="19" t="s">
        <v>166</v>
      </c>
      <c r="H121" s="21">
        <v>350519607</v>
      </c>
    </row>
    <row r="122" spans="1:8" ht="15" x14ac:dyDescent="0.45">
      <c r="A122" s="18">
        <v>1</v>
      </c>
      <c r="B122" s="6" t="s">
        <v>0</v>
      </c>
      <c r="C122" s="4" t="s">
        <v>167</v>
      </c>
      <c r="D122" s="4"/>
      <c r="E122" s="20" t="s">
        <v>4</v>
      </c>
      <c r="F122" s="7" t="s">
        <v>3</v>
      </c>
      <c r="G122" s="19" t="s">
        <v>168</v>
      </c>
      <c r="H122" s="16">
        <v>2500000</v>
      </c>
    </row>
    <row r="123" spans="1:8" ht="15" x14ac:dyDescent="0.45">
      <c r="A123" s="18">
        <v>10</v>
      </c>
      <c r="B123" s="6" t="s">
        <v>14</v>
      </c>
      <c r="C123" s="4" t="s">
        <v>169</v>
      </c>
      <c r="D123" s="4"/>
      <c r="E123" s="20" t="s">
        <v>4</v>
      </c>
      <c r="F123" s="7" t="s">
        <v>13</v>
      </c>
      <c r="G123" s="19" t="s">
        <v>170</v>
      </c>
      <c r="H123" s="16">
        <v>1000000</v>
      </c>
    </row>
    <row r="124" spans="1:8" ht="15" x14ac:dyDescent="0.45">
      <c r="A124" s="18">
        <v>28</v>
      </c>
      <c r="B124" s="6" t="s">
        <v>25</v>
      </c>
      <c r="C124" s="4" t="s">
        <v>169</v>
      </c>
      <c r="D124" s="4"/>
      <c r="E124" s="20" t="s">
        <v>27</v>
      </c>
      <c r="F124" s="7" t="s">
        <v>13</v>
      </c>
      <c r="G124" s="19" t="s">
        <v>171</v>
      </c>
      <c r="H124" s="16">
        <v>10000000</v>
      </c>
    </row>
    <row r="125" spans="1:8" ht="15" x14ac:dyDescent="0.45">
      <c r="A125" s="18">
        <v>31</v>
      </c>
      <c r="B125" s="6" t="s">
        <v>25</v>
      </c>
      <c r="C125" s="4" t="s">
        <v>167</v>
      </c>
      <c r="D125" s="4"/>
      <c r="E125" s="20" t="s">
        <v>27</v>
      </c>
      <c r="F125" s="7" t="s">
        <v>3</v>
      </c>
      <c r="G125" s="19" t="s">
        <v>172</v>
      </c>
      <c r="H125" s="16">
        <v>19000000</v>
      </c>
    </row>
    <row r="126" spans="1:8" ht="15" x14ac:dyDescent="0.45">
      <c r="A126" s="18">
        <v>34</v>
      </c>
      <c r="B126" s="6" t="s">
        <v>31</v>
      </c>
      <c r="C126" s="4" t="s">
        <v>169</v>
      </c>
      <c r="D126" s="4"/>
      <c r="E126" s="20" t="s">
        <v>36</v>
      </c>
      <c r="F126" s="7" t="s">
        <v>3</v>
      </c>
      <c r="G126" s="19" t="s">
        <v>173</v>
      </c>
      <c r="H126" s="16">
        <v>150000</v>
      </c>
    </row>
    <row r="127" spans="1:8" ht="15" x14ac:dyDescent="0.45">
      <c r="A127" s="18">
        <v>40</v>
      </c>
      <c r="B127" s="6" t="s">
        <v>37</v>
      </c>
      <c r="C127" s="4" t="s">
        <v>174</v>
      </c>
      <c r="D127" s="4"/>
      <c r="E127" s="20" t="s">
        <v>176</v>
      </c>
      <c r="F127" s="7" t="s">
        <v>3</v>
      </c>
      <c r="G127" s="19" t="s">
        <v>175</v>
      </c>
      <c r="H127" s="16">
        <v>1000000</v>
      </c>
    </row>
    <row r="128" spans="1:8" ht="15" x14ac:dyDescent="0.45">
      <c r="A128" s="18">
        <v>45</v>
      </c>
      <c r="B128" s="6" t="s">
        <v>42</v>
      </c>
      <c r="C128" s="4" t="s">
        <v>169</v>
      </c>
      <c r="D128" s="4"/>
      <c r="E128" s="20" t="s">
        <v>44</v>
      </c>
      <c r="F128" s="7" t="s">
        <v>13</v>
      </c>
      <c r="G128" s="19" t="s">
        <v>177</v>
      </c>
      <c r="H128" s="16">
        <v>11889498</v>
      </c>
    </row>
    <row r="129" spans="1:8" ht="15" x14ac:dyDescent="0.45">
      <c r="A129" s="18">
        <v>73</v>
      </c>
      <c r="B129" s="6" t="s">
        <v>85</v>
      </c>
      <c r="C129" s="4" t="s">
        <v>178</v>
      </c>
      <c r="D129" s="4"/>
      <c r="E129" s="20" t="s">
        <v>54</v>
      </c>
      <c r="F129" s="7" t="s">
        <v>13</v>
      </c>
      <c r="G129" s="19" t="s">
        <v>179</v>
      </c>
      <c r="H129" s="16">
        <v>4000000</v>
      </c>
    </row>
    <row r="130" spans="1:8" ht="15" x14ac:dyDescent="0.45">
      <c r="A130" s="18">
        <v>86</v>
      </c>
      <c r="B130" s="6" t="s">
        <v>98</v>
      </c>
      <c r="C130" s="4" t="s">
        <v>167</v>
      </c>
      <c r="D130" s="4"/>
      <c r="E130" s="20" t="s">
        <v>105</v>
      </c>
      <c r="F130" s="7" t="s">
        <v>13</v>
      </c>
      <c r="G130" s="19" t="s">
        <v>180</v>
      </c>
      <c r="H130" s="16">
        <v>3430000</v>
      </c>
    </row>
    <row r="131" spans="1:8" ht="15" x14ac:dyDescent="0.45">
      <c r="A131" s="18">
        <v>97</v>
      </c>
      <c r="B131" s="6" t="s">
        <v>114</v>
      </c>
      <c r="C131" s="4" t="s">
        <v>169</v>
      </c>
      <c r="D131" s="4"/>
      <c r="E131" s="20" t="s">
        <v>44</v>
      </c>
      <c r="F131" s="7" t="s">
        <v>3</v>
      </c>
      <c r="G131" s="19" t="s">
        <v>181</v>
      </c>
      <c r="H131" s="16">
        <v>10000000</v>
      </c>
    </row>
    <row r="132" spans="1:8" ht="15" x14ac:dyDescent="0.45">
      <c r="A132" s="18">
        <v>102</v>
      </c>
      <c r="B132" s="6" t="s">
        <v>114</v>
      </c>
      <c r="C132" s="4" t="s">
        <v>182</v>
      </c>
      <c r="D132" s="4"/>
      <c r="E132" s="20" t="s">
        <v>36</v>
      </c>
      <c r="F132" s="7" t="s">
        <v>13</v>
      </c>
      <c r="G132" s="19" t="s">
        <v>183</v>
      </c>
      <c r="H132" s="16">
        <v>1000000</v>
      </c>
    </row>
    <row r="133" spans="1:8" ht="15" x14ac:dyDescent="0.45">
      <c r="A133" s="18">
        <v>106</v>
      </c>
      <c r="B133" s="6" t="s">
        <v>122</v>
      </c>
      <c r="C133" s="4" t="s">
        <v>169</v>
      </c>
      <c r="D133" s="4"/>
      <c r="E133" s="20" t="s">
        <v>47</v>
      </c>
      <c r="F133" s="7" t="s">
        <v>13</v>
      </c>
      <c r="G133" s="19" t="s">
        <v>184</v>
      </c>
      <c r="H133" s="16">
        <v>70180000</v>
      </c>
    </row>
    <row r="134" spans="1:8" ht="15" x14ac:dyDescent="0.45">
      <c r="A134" s="18">
        <v>107</v>
      </c>
      <c r="B134" s="6" t="s">
        <v>122</v>
      </c>
      <c r="C134" s="4" t="s">
        <v>167</v>
      </c>
      <c r="D134" s="4"/>
      <c r="E134" s="20" t="s">
        <v>47</v>
      </c>
      <c r="F134" s="7" t="s">
        <v>13</v>
      </c>
      <c r="G134" s="19" t="s">
        <v>185</v>
      </c>
      <c r="H134" s="16">
        <v>30053000</v>
      </c>
    </row>
    <row r="135" spans="1:8" ht="15" x14ac:dyDescent="0.45">
      <c r="A135" s="18">
        <v>108</v>
      </c>
      <c r="B135" s="6" t="s">
        <v>122</v>
      </c>
      <c r="C135" s="4" t="s">
        <v>182</v>
      </c>
      <c r="D135" s="4"/>
      <c r="E135" s="20" t="s">
        <v>47</v>
      </c>
      <c r="F135" s="7" t="s">
        <v>13</v>
      </c>
      <c r="G135" s="19" t="s">
        <v>186</v>
      </c>
      <c r="H135" s="16">
        <v>80280000</v>
      </c>
    </row>
    <row r="136" spans="1:8" ht="15" x14ac:dyDescent="0.45">
      <c r="A136" s="18">
        <v>111</v>
      </c>
      <c r="B136" s="6" t="s">
        <v>133</v>
      </c>
      <c r="C136" s="4" t="s">
        <v>167</v>
      </c>
      <c r="D136" s="4"/>
      <c r="E136" s="20" t="s">
        <v>54</v>
      </c>
      <c r="F136" s="7" t="s">
        <v>13</v>
      </c>
      <c r="G136" s="19" t="s">
        <v>187</v>
      </c>
      <c r="H136" s="16">
        <v>730000</v>
      </c>
    </row>
    <row r="137" spans="1:8" ht="15" x14ac:dyDescent="0.45">
      <c r="A137" s="18">
        <v>112</v>
      </c>
      <c r="B137" s="6" t="s">
        <v>133</v>
      </c>
      <c r="C137" s="4" t="s">
        <v>182</v>
      </c>
      <c r="D137" s="4"/>
      <c r="E137" s="20" t="s">
        <v>54</v>
      </c>
      <c r="F137" s="7" t="s">
        <v>13</v>
      </c>
      <c r="G137" s="19" t="s">
        <v>188</v>
      </c>
      <c r="H137" s="16">
        <v>2000000</v>
      </c>
    </row>
    <row r="138" spans="1:8" ht="15" x14ac:dyDescent="0.45">
      <c r="A138" s="18">
        <v>116</v>
      </c>
      <c r="B138" s="6" t="s">
        <v>133</v>
      </c>
      <c r="C138" s="4" t="s">
        <v>178</v>
      </c>
      <c r="D138" s="4"/>
      <c r="E138" s="20" t="s">
        <v>54</v>
      </c>
      <c r="F138" s="7" t="s">
        <v>3</v>
      </c>
      <c r="G138" s="19" t="s">
        <v>189</v>
      </c>
      <c r="H138" s="16">
        <v>300000</v>
      </c>
    </row>
    <row r="139" spans="1:8" ht="15" x14ac:dyDescent="0.45">
      <c r="A139" s="18">
        <v>117</v>
      </c>
      <c r="B139" s="6" t="s">
        <v>133</v>
      </c>
      <c r="C139" s="4" t="s">
        <v>190</v>
      </c>
      <c r="D139" s="4"/>
      <c r="E139" s="20" t="s">
        <v>54</v>
      </c>
      <c r="F139" s="7" t="s">
        <v>3</v>
      </c>
      <c r="G139" s="19" t="s">
        <v>191</v>
      </c>
      <c r="H139" s="16">
        <v>1190000</v>
      </c>
    </row>
    <row r="140" spans="1:8" ht="15" x14ac:dyDescent="0.45">
      <c r="A140" s="18">
        <v>119</v>
      </c>
      <c r="B140" s="6" t="s">
        <v>138</v>
      </c>
      <c r="C140" s="4" t="s">
        <v>169</v>
      </c>
      <c r="D140" s="4"/>
      <c r="E140" s="20" t="s">
        <v>161</v>
      </c>
      <c r="F140" s="7" t="s">
        <v>13</v>
      </c>
      <c r="G140" s="19" t="s">
        <v>192</v>
      </c>
      <c r="H140" s="21">
        <v>11930000</v>
      </c>
    </row>
    <row r="141" spans="1:8" ht="15" x14ac:dyDescent="0.45">
      <c r="A141" s="18">
        <v>120</v>
      </c>
      <c r="B141" s="6" t="s">
        <v>138</v>
      </c>
      <c r="C141" s="4" t="s">
        <v>167</v>
      </c>
      <c r="D141" s="4"/>
      <c r="E141" s="20" t="s">
        <v>161</v>
      </c>
      <c r="F141" s="7" t="s">
        <v>13</v>
      </c>
      <c r="G141" s="19" t="s">
        <v>193</v>
      </c>
      <c r="H141" s="21">
        <v>14180000</v>
      </c>
    </row>
    <row r="142" spans="1:8" ht="15" x14ac:dyDescent="0.45">
      <c r="A142" s="18">
        <v>121</v>
      </c>
      <c r="B142" s="6" t="s">
        <v>138</v>
      </c>
      <c r="C142" s="4" t="s">
        <v>182</v>
      </c>
      <c r="D142" s="4"/>
      <c r="E142" s="20" t="s">
        <v>66</v>
      </c>
      <c r="F142" s="7" t="s">
        <v>13</v>
      </c>
      <c r="G142" s="19" t="s">
        <v>194</v>
      </c>
      <c r="H142" s="16">
        <v>14000000</v>
      </c>
    </row>
    <row r="143" spans="1:8" ht="15" x14ac:dyDescent="0.45">
      <c r="A143" s="18">
        <v>122</v>
      </c>
      <c r="B143" s="6" t="s">
        <v>138</v>
      </c>
      <c r="C143" s="4" t="s">
        <v>174</v>
      </c>
      <c r="D143" s="4"/>
      <c r="E143" s="20" t="s">
        <v>54</v>
      </c>
      <c r="F143" s="7" t="s">
        <v>13</v>
      </c>
      <c r="G143" s="19" t="s">
        <v>195</v>
      </c>
      <c r="H143" s="16">
        <v>2000000</v>
      </c>
    </row>
    <row r="144" spans="1:8" ht="15" x14ac:dyDescent="0.45">
      <c r="A144" s="18">
        <v>123</v>
      </c>
      <c r="B144" s="10" t="s">
        <v>138</v>
      </c>
      <c r="C144" s="11" t="s">
        <v>196</v>
      </c>
      <c r="D144" s="11"/>
      <c r="E144" s="13" t="s">
        <v>57</v>
      </c>
      <c r="F144" s="7" t="s">
        <v>13</v>
      </c>
      <c r="G144" s="12" t="s">
        <v>197</v>
      </c>
      <c r="H144" s="16">
        <v>4600000</v>
      </c>
    </row>
    <row r="145" spans="1:10" ht="15" x14ac:dyDescent="0.45">
      <c r="A145" s="18">
        <v>124</v>
      </c>
      <c r="B145" s="10" t="s">
        <v>138</v>
      </c>
      <c r="C145" s="11" t="s">
        <v>198</v>
      </c>
      <c r="D145" s="11"/>
      <c r="E145" s="13" t="s">
        <v>161</v>
      </c>
      <c r="F145" s="7" t="s">
        <v>13</v>
      </c>
      <c r="G145" s="12" t="s">
        <v>199</v>
      </c>
      <c r="H145" s="16">
        <v>17830000</v>
      </c>
    </row>
    <row r="146" spans="1:10" ht="15" x14ac:dyDescent="0.45">
      <c r="A146" s="18">
        <v>167</v>
      </c>
      <c r="B146" s="10" t="s">
        <v>157</v>
      </c>
      <c r="C146" s="11" t="s">
        <v>169</v>
      </c>
      <c r="D146" s="11"/>
      <c r="E146" s="13" t="s">
        <v>201</v>
      </c>
      <c r="F146" s="7" t="s">
        <v>13</v>
      </c>
      <c r="G146" s="12" t="s">
        <v>200</v>
      </c>
      <c r="H146" s="16">
        <v>3011752</v>
      </c>
    </row>
    <row r="147" spans="1:10" ht="15" x14ac:dyDescent="0.45">
      <c r="A147" s="18">
        <v>168</v>
      </c>
      <c r="B147" s="10" t="s">
        <v>157</v>
      </c>
      <c r="C147" s="11" t="s">
        <v>167</v>
      </c>
      <c r="D147" s="11"/>
      <c r="E147" s="13" t="s">
        <v>33</v>
      </c>
      <c r="F147" s="7" t="s">
        <v>13</v>
      </c>
      <c r="G147" s="12" t="s">
        <v>202</v>
      </c>
      <c r="H147" s="16">
        <v>431438</v>
      </c>
    </row>
    <row r="148" spans="1:10" x14ac:dyDescent="0.45">
      <c r="H148" s="23">
        <f>SUM(H2:H147)</f>
        <v>21409459031</v>
      </c>
      <c r="J148" s="23"/>
    </row>
    <row r="149" spans="1:10" x14ac:dyDescent="0.45">
      <c r="H149" s="23">
        <f>SUMIF(E2:E147,"MC",H2:H147)</f>
        <v>33000000</v>
      </c>
      <c r="J149" s="23"/>
    </row>
    <row r="150" spans="1:10" x14ac:dyDescent="0.45">
      <c r="H150" s="23"/>
      <c r="I150" s="24"/>
      <c r="J150" s="23"/>
    </row>
    <row r="151" spans="1:10" x14ac:dyDescent="0.45">
      <c r="I151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F079F-FFB3-4C5B-BDF3-9115CFBB37E8}">
  <dimension ref="A1:J150"/>
  <sheetViews>
    <sheetView workbookViewId="0">
      <selection activeCell="F150" sqref="F150"/>
    </sheetView>
  </sheetViews>
  <sheetFormatPr defaultRowHeight="14.25" x14ac:dyDescent="0.45"/>
  <cols>
    <col min="6" max="6" width="15.3984375" bestFit="1" customWidth="1"/>
    <col min="7" max="7" width="13.6640625" bestFit="1" customWidth="1"/>
    <col min="8" max="9" width="12.1328125" bestFit="1" customWidth="1"/>
  </cols>
  <sheetData>
    <row r="1" spans="1:10" x14ac:dyDescent="0.45">
      <c r="A1" t="s">
        <v>211</v>
      </c>
      <c r="B1" t="s">
        <v>212</v>
      </c>
      <c r="C1" t="s">
        <v>213</v>
      </c>
      <c r="D1" t="s">
        <v>214</v>
      </c>
      <c r="E1" t="s">
        <v>215</v>
      </c>
      <c r="F1" t="s">
        <v>320</v>
      </c>
      <c r="G1" t="s">
        <v>321</v>
      </c>
      <c r="H1" t="s">
        <v>322</v>
      </c>
      <c r="I1" t="s">
        <v>323</v>
      </c>
      <c r="J1" t="s">
        <v>324</v>
      </c>
    </row>
    <row r="2" spans="1:10" x14ac:dyDescent="0.45">
      <c r="A2" t="s">
        <v>0</v>
      </c>
      <c r="B2" t="s">
        <v>1</v>
      </c>
      <c r="C2" t="s">
        <v>4</v>
      </c>
      <c r="D2" t="s">
        <v>3</v>
      </c>
      <c r="E2" t="s">
        <v>2</v>
      </c>
      <c r="F2" s="24">
        <v>244838539</v>
      </c>
      <c r="G2" s="24">
        <v>2146697258</v>
      </c>
      <c r="H2" s="24">
        <v>250458914</v>
      </c>
      <c r="I2" s="24">
        <v>50017454</v>
      </c>
      <c r="J2" s="25">
        <v>0.20399999999999999</v>
      </c>
    </row>
    <row r="3" spans="1:10" x14ac:dyDescent="0.45">
      <c r="A3" t="s">
        <v>0</v>
      </c>
      <c r="B3" t="s">
        <v>5</v>
      </c>
      <c r="C3" t="s">
        <v>4</v>
      </c>
      <c r="D3" t="s">
        <v>3</v>
      </c>
      <c r="E3" t="s">
        <v>216</v>
      </c>
      <c r="F3" s="24">
        <v>57974587</v>
      </c>
      <c r="G3" s="24">
        <v>511355717</v>
      </c>
      <c r="H3" s="24">
        <v>125462024</v>
      </c>
      <c r="I3" s="24">
        <v>25049710</v>
      </c>
      <c r="J3" s="25">
        <v>0.432</v>
      </c>
    </row>
    <row r="4" spans="1:10" x14ac:dyDescent="0.45">
      <c r="A4" t="s">
        <v>0</v>
      </c>
      <c r="B4" t="s">
        <v>7</v>
      </c>
      <c r="C4" t="s">
        <v>4</v>
      </c>
      <c r="D4" t="s">
        <v>3</v>
      </c>
      <c r="E4" t="s">
        <v>8</v>
      </c>
      <c r="F4" s="24">
        <v>33003856</v>
      </c>
      <c r="G4" s="24">
        <v>1610434017</v>
      </c>
      <c r="H4" s="24">
        <v>5934536</v>
      </c>
      <c r="I4" s="24">
        <v>1185419</v>
      </c>
      <c r="J4" s="25">
        <v>3.5999999999999997E-2</v>
      </c>
    </row>
    <row r="5" spans="1:10" x14ac:dyDescent="0.45">
      <c r="A5" t="s">
        <v>0</v>
      </c>
      <c r="B5" t="s">
        <v>9</v>
      </c>
      <c r="C5" t="s">
        <v>4</v>
      </c>
      <c r="D5" t="s">
        <v>3</v>
      </c>
      <c r="E5" t="s">
        <v>217</v>
      </c>
      <c r="F5" s="24">
        <v>35000000</v>
      </c>
      <c r="G5" s="24">
        <v>174300000</v>
      </c>
      <c r="H5" s="24">
        <v>62421654</v>
      </c>
      <c r="I5" s="24">
        <v>12484331</v>
      </c>
      <c r="J5" s="25">
        <v>0.35699999999999998</v>
      </c>
    </row>
    <row r="6" spans="1:10" x14ac:dyDescent="0.45">
      <c r="A6" t="s">
        <v>0</v>
      </c>
      <c r="B6" t="s">
        <v>11</v>
      </c>
      <c r="C6" t="s">
        <v>4</v>
      </c>
      <c r="D6" t="s">
        <v>13</v>
      </c>
      <c r="E6" t="s">
        <v>12</v>
      </c>
      <c r="F6" s="24">
        <v>30000000</v>
      </c>
      <c r="G6" s="24">
        <v>149400000</v>
      </c>
      <c r="H6" s="24">
        <v>2500000</v>
      </c>
      <c r="I6" s="24">
        <v>499002</v>
      </c>
      <c r="J6" s="25">
        <v>1.7000000000000001E-2</v>
      </c>
    </row>
    <row r="7" spans="1:10" x14ac:dyDescent="0.45">
      <c r="A7" t="s">
        <v>0</v>
      </c>
      <c r="B7" t="s">
        <v>167</v>
      </c>
      <c r="C7" t="s">
        <v>4</v>
      </c>
      <c r="D7" t="s">
        <v>3</v>
      </c>
      <c r="E7" t="s">
        <v>168</v>
      </c>
      <c r="F7" s="24">
        <v>2500000</v>
      </c>
      <c r="G7" s="24">
        <v>12450000</v>
      </c>
      <c r="H7" s="24">
        <v>12395484</v>
      </c>
      <c r="I7" s="24">
        <v>2478414</v>
      </c>
      <c r="J7" s="25">
        <v>0.99099999999999999</v>
      </c>
    </row>
    <row r="8" spans="1:10" x14ac:dyDescent="0.45">
      <c r="A8" t="s">
        <v>14</v>
      </c>
      <c r="B8" t="s">
        <v>1</v>
      </c>
      <c r="C8" t="s">
        <v>4</v>
      </c>
      <c r="D8" t="s">
        <v>13</v>
      </c>
      <c r="E8" t="s">
        <v>218</v>
      </c>
      <c r="F8" s="24">
        <v>307547498</v>
      </c>
      <c r="G8" s="24">
        <v>1162474234</v>
      </c>
      <c r="H8" s="24">
        <v>365879763</v>
      </c>
      <c r="I8" s="24">
        <v>73088923</v>
      </c>
      <c r="J8" s="25">
        <v>0.23799999999999999</v>
      </c>
    </row>
    <row r="9" spans="1:10" x14ac:dyDescent="0.45">
      <c r="A9" t="s">
        <v>14</v>
      </c>
      <c r="B9" t="s">
        <v>5</v>
      </c>
      <c r="C9" t="s">
        <v>4</v>
      </c>
      <c r="D9" t="s">
        <v>13</v>
      </c>
      <c r="E9" t="s">
        <v>219</v>
      </c>
      <c r="F9" s="24">
        <v>50000000</v>
      </c>
      <c r="G9" s="24">
        <v>177044699</v>
      </c>
      <c r="H9" s="24">
        <v>88237976</v>
      </c>
      <c r="I9" s="24">
        <v>17622067</v>
      </c>
      <c r="J9" s="25">
        <v>0.35199999999999998</v>
      </c>
    </row>
    <row r="10" spans="1:10" x14ac:dyDescent="0.45">
      <c r="A10" t="s">
        <v>14</v>
      </c>
      <c r="B10" t="s">
        <v>17</v>
      </c>
      <c r="C10" t="s">
        <v>4</v>
      </c>
      <c r="D10" t="s">
        <v>13</v>
      </c>
      <c r="E10" t="s">
        <v>18</v>
      </c>
      <c r="F10" s="24">
        <v>5000000</v>
      </c>
      <c r="G10">
        <v>0</v>
      </c>
      <c r="H10">
        <v>0</v>
      </c>
      <c r="I10">
        <v>0</v>
      </c>
      <c r="J10" s="25">
        <v>0</v>
      </c>
    </row>
    <row r="11" spans="1:10" x14ac:dyDescent="0.45">
      <c r="A11" t="s">
        <v>14</v>
      </c>
      <c r="B11" t="s">
        <v>7</v>
      </c>
      <c r="C11" t="s">
        <v>4</v>
      </c>
      <c r="D11" t="s">
        <v>13</v>
      </c>
      <c r="E11" t="s">
        <v>220</v>
      </c>
      <c r="F11" s="24">
        <v>10001000</v>
      </c>
      <c r="G11" s="24">
        <v>331051286</v>
      </c>
      <c r="H11">
        <v>0</v>
      </c>
      <c r="I11">
        <v>0</v>
      </c>
      <c r="J11" s="25">
        <v>0</v>
      </c>
    </row>
    <row r="12" spans="1:10" x14ac:dyDescent="0.45">
      <c r="A12" t="s">
        <v>14</v>
      </c>
      <c r="B12" t="s">
        <v>9</v>
      </c>
      <c r="C12" t="s">
        <v>4</v>
      </c>
      <c r="D12" t="s">
        <v>13</v>
      </c>
      <c r="E12" t="s">
        <v>221</v>
      </c>
      <c r="F12" s="24">
        <v>22000000</v>
      </c>
      <c r="G12" s="24">
        <v>109560000</v>
      </c>
      <c r="H12" s="24">
        <v>64129183</v>
      </c>
      <c r="I12" s="24">
        <v>12817720</v>
      </c>
      <c r="J12" s="25">
        <v>0.58299999999999996</v>
      </c>
    </row>
    <row r="13" spans="1:10" x14ac:dyDescent="0.45">
      <c r="A13" t="s">
        <v>14</v>
      </c>
      <c r="B13" t="s">
        <v>169</v>
      </c>
      <c r="C13" t="s">
        <v>4</v>
      </c>
      <c r="D13" t="s">
        <v>13</v>
      </c>
      <c r="E13" t="s">
        <v>170</v>
      </c>
      <c r="F13" s="24">
        <v>1000000</v>
      </c>
      <c r="G13" s="24">
        <v>5000000</v>
      </c>
      <c r="H13" s="24">
        <v>3307000</v>
      </c>
      <c r="I13" s="24">
        <v>661400</v>
      </c>
      <c r="J13" s="25">
        <v>0.66100000000000003</v>
      </c>
    </row>
    <row r="14" spans="1:10" x14ac:dyDescent="0.45">
      <c r="A14" t="s">
        <v>21</v>
      </c>
      <c r="B14" t="s">
        <v>222</v>
      </c>
      <c r="C14" t="s">
        <v>4</v>
      </c>
      <c r="D14" t="s">
        <v>13</v>
      </c>
      <c r="E14" t="s">
        <v>223</v>
      </c>
      <c r="F14" s="24">
        <v>240106200</v>
      </c>
      <c r="G14" s="24">
        <v>1349690257</v>
      </c>
      <c r="H14" s="24">
        <v>110138824</v>
      </c>
      <c r="I14" s="24">
        <v>22057661</v>
      </c>
      <c r="J14" s="25">
        <v>9.1999999999999998E-2</v>
      </c>
    </row>
    <row r="15" spans="1:10" x14ac:dyDescent="0.45">
      <c r="A15" t="s">
        <v>21</v>
      </c>
      <c r="B15" t="s">
        <v>224</v>
      </c>
      <c r="C15" t="s">
        <v>4</v>
      </c>
      <c r="D15" t="s">
        <v>3</v>
      </c>
      <c r="E15" t="s">
        <v>223</v>
      </c>
      <c r="F15" s="24">
        <v>165643845</v>
      </c>
      <c r="G15" s="24">
        <v>834591433</v>
      </c>
      <c r="H15" s="24">
        <v>101767588</v>
      </c>
      <c r="I15" s="24">
        <v>20313708</v>
      </c>
      <c r="J15" s="25">
        <v>0.123</v>
      </c>
    </row>
    <row r="16" spans="1:10" x14ac:dyDescent="0.45">
      <c r="A16" t="s">
        <v>21</v>
      </c>
      <c r="B16" t="s">
        <v>5</v>
      </c>
      <c r="C16" t="s">
        <v>4</v>
      </c>
      <c r="D16" t="s">
        <v>3</v>
      </c>
      <c r="E16" t="s">
        <v>225</v>
      </c>
      <c r="F16" s="24">
        <v>50196850</v>
      </c>
      <c r="G16" s="24">
        <v>207171174</v>
      </c>
      <c r="H16" s="24">
        <v>1183094</v>
      </c>
      <c r="I16" s="24">
        <v>236147</v>
      </c>
      <c r="J16" s="25">
        <v>5.0000000000000001E-3</v>
      </c>
    </row>
    <row r="17" spans="1:10" x14ac:dyDescent="0.45">
      <c r="A17" t="s">
        <v>21</v>
      </c>
      <c r="B17" t="s">
        <v>17</v>
      </c>
      <c r="C17" t="s">
        <v>4</v>
      </c>
      <c r="D17" t="s">
        <v>13</v>
      </c>
      <c r="E17" t="s">
        <v>226</v>
      </c>
      <c r="F17" s="24">
        <v>13000000</v>
      </c>
      <c r="G17" s="24">
        <v>64740000</v>
      </c>
      <c r="H17" s="24">
        <v>34031383</v>
      </c>
      <c r="I17" s="24">
        <v>6794785</v>
      </c>
      <c r="J17" s="25">
        <v>0.52300000000000002</v>
      </c>
    </row>
    <row r="18" spans="1:10" x14ac:dyDescent="0.45">
      <c r="A18" t="s">
        <v>25</v>
      </c>
      <c r="B18" t="s">
        <v>1</v>
      </c>
      <c r="C18" t="s">
        <v>27</v>
      </c>
      <c r="D18" t="s">
        <v>3</v>
      </c>
      <c r="E18" t="s">
        <v>227</v>
      </c>
      <c r="F18" s="24">
        <v>1874376400</v>
      </c>
      <c r="G18" s="24">
        <v>9358968522</v>
      </c>
      <c r="H18" s="24">
        <v>5149287496</v>
      </c>
      <c r="I18" s="24">
        <v>1029044282</v>
      </c>
      <c r="J18" s="25">
        <v>0.54900000000000004</v>
      </c>
    </row>
    <row r="19" spans="1:10" x14ac:dyDescent="0.45">
      <c r="A19" t="s">
        <v>25</v>
      </c>
      <c r="B19" t="s">
        <v>5</v>
      </c>
      <c r="C19" t="s">
        <v>27</v>
      </c>
      <c r="D19" t="s">
        <v>3</v>
      </c>
      <c r="E19" t="s">
        <v>28</v>
      </c>
      <c r="F19" s="24">
        <v>280829800</v>
      </c>
      <c r="G19" s="24">
        <v>1404148821</v>
      </c>
      <c r="H19" s="24">
        <v>734565004</v>
      </c>
      <c r="I19" s="24">
        <v>146803831</v>
      </c>
      <c r="J19" s="25">
        <v>0.52300000000000002</v>
      </c>
    </row>
    <row r="20" spans="1:10" x14ac:dyDescent="0.45">
      <c r="A20" t="s">
        <v>25</v>
      </c>
      <c r="B20" t="s">
        <v>228</v>
      </c>
      <c r="C20" t="s">
        <v>27</v>
      </c>
      <c r="D20" t="s">
        <v>3</v>
      </c>
      <c r="E20" t="s">
        <v>229</v>
      </c>
      <c r="F20" s="24">
        <v>1098821134</v>
      </c>
      <c r="G20" s="24">
        <v>15567711861</v>
      </c>
      <c r="H20" s="24">
        <v>8294158643</v>
      </c>
      <c r="I20" s="24">
        <v>1658641562</v>
      </c>
      <c r="J20" s="25">
        <v>1.51</v>
      </c>
    </row>
    <row r="21" spans="1:10" x14ac:dyDescent="0.45">
      <c r="A21" t="s">
        <v>25</v>
      </c>
      <c r="B21" t="s">
        <v>230</v>
      </c>
      <c r="C21" t="s">
        <v>27</v>
      </c>
      <c r="D21" t="s">
        <v>13</v>
      </c>
      <c r="E21" t="s">
        <v>231</v>
      </c>
      <c r="F21" s="24">
        <v>2169200266</v>
      </c>
      <c r="G21">
        <v>0</v>
      </c>
      <c r="H21">
        <v>0</v>
      </c>
      <c r="I21">
        <v>0</v>
      </c>
      <c r="J21" s="25">
        <v>0</v>
      </c>
    </row>
    <row r="22" spans="1:10" x14ac:dyDescent="0.45">
      <c r="A22" t="s">
        <v>25</v>
      </c>
      <c r="B22" t="s">
        <v>169</v>
      </c>
      <c r="C22" t="s">
        <v>27</v>
      </c>
      <c r="D22" t="s">
        <v>13</v>
      </c>
      <c r="E22" t="s">
        <v>171</v>
      </c>
      <c r="F22" s="24">
        <v>10000000</v>
      </c>
      <c r="G22">
        <v>0</v>
      </c>
      <c r="H22">
        <v>0</v>
      </c>
      <c r="I22">
        <v>0</v>
      </c>
      <c r="J22" s="25">
        <v>0</v>
      </c>
    </row>
    <row r="23" spans="1:10" x14ac:dyDescent="0.45">
      <c r="A23" t="s">
        <v>25</v>
      </c>
      <c r="B23" t="s">
        <v>167</v>
      </c>
      <c r="C23" t="s">
        <v>27</v>
      </c>
      <c r="D23" t="s">
        <v>3</v>
      </c>
      <c r="E23" t="s">
        <v>172</v>
      </c>
      <c r="F23" s="24">
        <v>19000000</v>
      </c>
      <c r="G23">
        <v>0</v>
      </c>
      <c r="H23" s="24">
        <v>6892133</v>
      </c>
      <c r="I23" s="24">
        <v>1378427</v>
      </c>
      <c r="J23" s="25">
        <v>7.2999999999999995E-2</v>
      </c>
    </row>
    <row r="24" spans="1:10" x14ac:dyDescent="0.45">
      <c r="A24" t="s">
        <v>31</v>
      </c>
      <c r="B24" t="s">
        <v>222</v>
      </c>
      <c r="C24" t="s">
        <v>33</v>
      </c>
      <c r="D24" t="s">
        <v>13</v>
      </c>
      <c r="E24" t="s">
        <v>232</v>
      </c>
      <c r="F24" s="24">
        <v>1390241851</v>
      </c>
      <c r="G24">
        <v>0</v>
      </c>
      <c r="H24">
        <v>0</v>
      </c>
      <c r="I24">
        <v>0</v>
      </c>
      <c r="J24" s="25">
        <v>0</v>
      </c>
    </row>
    <row r="25" spans="1:10" x14ac:dyDescent="0.45">
      <c r="A25" t="s">
        <v>31</v>
      </c>
      <c r="B25" t="s">
        <v>224</v>
      </c>
      <c r="C25" t="s">
        <v>33</v>
      </c>
      <c r="D25" t="s">
        <v>3</v>
      </c>
      <c r="E25" t="s">
        <v>232</v>
      </c>
      <c r="F25" s="24">
        <v>523160864</v>
      </c>
      <c r="G25" s="24">
        <v>11234398984</v>
      </c>
      <c r="H25" s="24">
        <v>5156270677</v>
      </c>
      <c r="I25" s="24">
        <v>1030189366</v>
      </c>
      <c r="J25" s="25">
        <v>1.9690000000000001</v>
      </c>
    </row>
    <row r="26" spans="1:10" x14ac:dyDescent="0.45">
      <c r="A26" t="s">
        <v>31</v>
      </c>
      <c r="B26" t="s">
        <v>5</v>
      </c>
      <c r="C26" t="s">
        <v>33</v>
      </c>
      <c r="D26" t="s">
        <v>3</v>
      </c>
      <c r="E26" t="s">
        <v>233</v>
      </c>
      <c r="F26" s="24">
        <v>5000000</v>
      </c>
      <c r="G26">
        <v>0</v>
      </c>
      <c r="H26">
        <v>0</v>
      </c>
      <c r="I26">
        <v>0</v>
      </c>
      <c r="J26" s="25">
        <v>0</v>
      </c>
    </row>
    <row r="27" spans="1:10" x14ac:dyDescent="0.45">
      <c r="A27" t="s">
        <v>31</v>
      </c>
      <c r="B27" t="s">
        <v>7</v>
      </c>
      <c r="C27" t="s">
        <v>36</v>
      </c>
      <c r="D27" t="s">
        <v>3</v>
      </c>
      <c r="E27" t="s">
        <v>35</v>
      </c>
      <c r="F27" s="24">
        <v>14850000</v>
      </c>
      <c r="G27" s="24">
        <v>74250000</v>
      </c>
      <c r="H27" s="24">
        <v>6574829</v>
      </c>
      <c r="I27" s="24">
        <v>1313610</v>
      </c>
      <c r="J27" s="25">
        <v>8.8999999999999996E-2</v>
      </c>
    </row>
    <row r="28" spans="1:10" x14ac:dyDescent="0.45">
      <c r="A28" t="s">
        <v>31</v>
      </c>
      <c r="B28" t="s">
        <v>169</v>
      </c>
      <c r="C28" t="s">
        <v>36</v>
      </c>
      <c r="D28" t="s">
        <v>3</v>
      </c>
      <c r="E28" t="s">
        <v>173</v>
      </c>
      <c r="F28" s="24">
        <v>150000</v>
      </c>
      <c r="G28" s="24">
        <v>750000</v>
      </c>
      <c r="H28" s="24">
        <v>110000</v>
      </c>
      <c r="I28" s="24">
        <v>22000</v>
      </c>
      <c r="J28" s="25">
        <v>0.14699999999999999</v>
      </c>
    </row>
    <row r="29" spans="1:10" x14ac:dyDescent="0.45">
      <c r="A29" t="s">
        <v>37</v>
      </c>
      <c r="B29" t="s">
        <v>5</v>
      </c>
      <c r="C29" t="s">
        <v>176</v>
      </c>
      <c r="D29" t="s">
        <v>3</v>
      </c>
      <c r="E29" t="s">
        <v>234</v>
      </c>
      <c r="F29" s="24">
        <v>86500000</v>
      </c>
      <c r="G29" s="24">
        <v>510445674</v>
      </c>
      <c r="H29" s="24">
        <v>14331462</v>
      </c>
      <c r="I29" s="24">
        <v>2860866</v>
      </c>
      <c r="J29" s="25">
        <v>3.3000000000000002E-2</v>
      </c>
    </row>
    <row r="30" spans="1:10" x14ac:dyDescent="0.45">
      <c r="A30" t="s">
        <v>37</v>
      </c>
      <c r="B30" t="s">
        <v>17</v>
      </c>
      <c r="C30" t="s">
        <v>176</v>
      </c>
      <c r="D30" t="s">
        <v>3</v>
      </c>
      <c r="E30" t="s">
        <v>235</v>
      </c>
      <c r="F30" s="24">
        <v>86377743</v>
      </c>
      <c r="G30" s="24">
        <v>423077000</v>
      </c>
      <c r="H30" s="24">
        <v>143964678</v>
      </c>
      <c r="I30" s="24">
        <v>28787172</v>
      </c>
      <c r="J30" s="25">
        <v>0.33300000000000002</v>
      </c>
    </row>
    <row r="31" spans="1:10" x14ac:dyDescent="0.45">
      <c r="A31" t="s">
        <v>37</v>
      </c>
      <c r="B31" t="s">
        <v>236</v>
      </c>
      <c r="C31" t="s">
        <v>176</v>
      </c>
      <c r="D31" t="s">
        <v>3</v>
      </c>
      <c r="E31" t="s">
        <v>237</v>
      </c>
      <c r="F31" s="24">
        <v>50000000</v>
      </c>
      <c r="G31" s="24">
        <v>183159551</v>
      </c>
      <c r="H31" s="24">
        <v>32580</v>
      </c>
      <c r="I31" s="24">
        <v>6516</v>
      </c>
      <c r="J31" s="25">
        <v>0</v>
      </c>
    </row>
    <row r="32" spans="1:10" x14ac:dyDescent="0.45">
      <c r="A32" t="s">
        <v>37</v>
      </c>
      <c r="B32" t="s">
        <v>238</v>
      </c>
      <c r="C32" t="s">
        <v>176</v>
      </c>
      <c r="D32" t="s">
        <v>13</v>
      </c>
      <c r="E32" t="s">
        <v>237</v>
      </c>
      <c r="F32" s="24">
        <v>80000000</v>
      </c>
      <c r="G32" s="24">
        <v>389997488</v>
      </c>
      <c r="H32">
        <v>0</v>
      </c>
      <c r="I32">
        <v>0</v>
      </c>
      <c r="J32" s="25">
        <v>0</v>
      </c>
    </row>
    <row r="33" spans="1:10" x14ac:dyDescent="0.45">
      <c r="A33" t="s">
        <v>37</v>
      </c>
      <c r="B33" t="s">
        <v>9</v>
      </c>
      <c r="C33" t="s">
        <v>176</v>
      </c>
      <c r="D33" t="s">
        <v>13</v>
      </c>
      <c r="E33" t="s">
        <v>239</v>
      </c>
      <c r="F33" s="24">
        <v>64000000</v>
      </c>
      <c r="G33" s="24">
        <v>200847226</v>
      </c>
      <c r="H33" s="24">
        <v>42448166</v>
      </c>
      <c r="I33" s="24">
        <v>8473404</v>
      </c>
      <c r="J33" s="25">
        <v>0.13200000000000001</v>
      </c>
    </row>
    <row r="34" spans="1:10" x14ac:dyDescent="0.45">
      <c r="A34" t="s">
        <v>37</v>
      </c>
      <c r="B34" t="s">
        <v>174</v>
      </c>
      <c r="C34" t="s">
        <v>176</v>
      </c>
      <c r="D34" t="s">
        <v>3</v>
      </c>
      <c r="E34" t="s">
        <v>175</v>
      </c>
      <c r="F34" s="24">
        <v>1000000</v>
      </c>
      <c r="G34">
        <v>0</v>
      </c>
      <c r="H34" s="24">
        <v>4980000</v>
      </c>
      <c r="I34" s="24">
        <v>1000000</v>
      </c>
      <c r="J34" s="25">
        <v>1</v>
      </c>
    </row>
    <row r="35" spans="1:10" x14ac:dyDescent="0.45">
      <c r="A35" t="s">
        <v>42</v>
      </c>
      <c r="B35" t="s">
        <v>1</v>
      </c>
      <c r="C35" t="s">
        <v>44</v>
      </c>
      <c r="D35" t="s">
        <v>13</v>
      </c>
      <c r="E35" t="s">
        <v>240</v>
      </c>
      <c r="F35" s="24">
        <v>374728570</v>
      </c>
      <c r="G35" s="24">
        <v>1866155400</v>
      </c>
      <c r="H35" s="24">
        <v>883341389</v>
      </c>
      <c r="I35" s="24">
        <v>176504667</v>
      </c>
      <c r="J35" s="25">
        <v>0.47099999999999997</v>
      </c>
    </row>
    <row r="36" spans="1:10" x14ac:dyDescent="0.45">
      <c r="A36" t="s">
        <v>42</v>
      </c>
      <c r="B36" t="s">
        <v>5</v>
      </c>
      <c r="C36" t="s">
        <v>44</v>
      </c>
      <c r="D36" t="s">
        <v>13</v>
      </c>
      <c r="E36" t="s">
        <v>241</v>
      </c>
      <c r="F36" s="24">
        <v>187050420</v>
      </c>
      <c r="G36" s="24">
        <v>923023345</v>
      </c>
      <c r="H36" s="24">
        <v>23680528</v>
      </c>
      <c r="I36" s="24">
        <v>4728865</v>
      </c>
      <c r="J36" s="25">
        <v>2.5000000000000001E-2</v>
      </c>
    </row>
    <row r="37" spans="1:10" x14ac:dyDescent="0.45">
      <c r="A37" t="s">
        <v>42</v>
      </c>
      <c r="B37" t="s">
        <v>228</v>
      </c>
      <c r="C37" t="s">
        <v>47</v>
      </c>
      <c r="D37" t="s">
        <v>13</v>
      </c>
      <c r="E37" t="s">
        <v>242</v>
      </c>
      <c r="F37" s="24">
        <v>100000000</v>
      </c>
      <c r="G37" s="24">
        <v>493900000</v>
      </c>
      <c r="H37" s="24">
        <v>111768758</v>
      </c>
      <c r="I37" s="24">
        <v>22316977</v>
      </c>
      <c r="J37" s="25">
        <v>0.223</v>
      </c>
    </row>
    <row r="38" spans="1:10" x14ac:dyDescent="0.45">
      <c r="A38" t="s">
        <v>42</v>
      </c>
      <c r="B38" t="s">
        <v>230</v>
      </c>
      <c r="C38" t="s">
        <v>47</v>
      </c>
      <c r="D38" t="s">
        <v>13</v>
      </c>
      <c r="E38" t="s">
        <v>243</v>
      </c>
      <c r="F38" s="24">
        <v>100000000</v>
      </c>
      <c r="G38" s="24">
        <v>510119796</v>
      </c>
      <c r="H38">
        <v>0</v>
      </c>
      <c r="I38">
        <v>0</v>
      </c>
      <c r="J38" s="25">
        <v>0</v>
      </c>
    </row>
    <row r="39" spans="1:10" x14ac:dyDescent="0.45">
      <c r="A39" t="s">
        <v>42</v>
      </c>
      <c r="B39" t="s">
        <v>244</v>
      </c>
      <c r="C39" t="s">
        <v>47</v>
      </c>
      <c r="D39" t="s">
        <v>13</v>
      </c>
      <c r="E39" t="s">
        <v>245</v>
      </c>
      <c r="F39" s="24">
        <v>100000000</v>
      </c>
      <c r="G39" s="24">
        <v>741248979</v>
      </c>
      <c r="H39">
        <v>0</v>
      </c>
      <c r="I39">
        <v>0</v>
      </c>
      <c r="J39" s="25">
        <v>0</v>
      </c>
    </row>
    <row r="40" spans="1:10" x14ac:dyDescent="0.45">
      <c r="A40" t="s">
        <v>42</v>
      </c>
      <c r="B40" t="s">
        <v>7</v>
      </c>
      <c r="C40" t="s">
        <v>51</v>
      </c>
      <c r="D40" t="s">
        <v>13</v>
      </c>
      <c r="E40" t="s">
        <v>246</v>
      </c>
      <c r="F40" s="24">
        <v>242310000</v>
      </c>
      <c r="G40" s="24">
        <v>871960000</v>
      </c>
      <c r="H40" s="24">
        <v>232480984</v>
      </c>
      <c r="I40" s="24">
        <v>46468278</v>
      </c>
      <c r="J40" s="25">
        <v>0.192</v>
      </c>
    </row>
    <row r="41" spans="1:10" x14ac:dyDescent="0.45">
      <c r="A41" t="s">
        <v>42</v>
      </c>
      <c r="B41" t="s">
        <v>9</v>
      </c>
      <c r="C41" t="s">
        <v>4</v>
      </c>
      <c r="D41" t="s">
        <v>13</v>
      </c>
      <c r="E41" t="s">
        <v>247</v>
      </c>
      <c r="F41" s="24">
        <v>47951280</v>
      </c>
      <c r="G41" s="24">
        <v>239636360</v>
      </c>
      <c r="H41" s="24">
        <v>41232650</v>
      </c>
      <c r="I41" s="24">
        <v>8237545</v>
      </c>
      <c r="J41" s="25">
        <v>0.17199999999999999</v>
      </c>
    </row>
    <row r="42" spans="1:10" x14ac:dyDescent="0.45">
      <c r="A42" t="s">
        <v>42</v>
      </c>
      <c r="B42" t="s">
        <v>11</v>
      </c>
      <c r="C42" t="s">
        <v>54</v>
      </c>
      <c r="D42" t="s">
        <v>13</v>
      </c>
      <c r="E42" t="s">
        <v>248</v>
      </c>
      <c r="F42" s="24">
        <v>85000000</v>
      </c>
      <c r="G42" s="24">
        <v>422484000</v>
      </c>
      <c r="H42" s="24">
        <v>215676160</v>
      </c>
      <c r="I42" s="24">
        <v>43076266</v>
      </c>
      <c r="J42" s="25">
        <v>0.50700000000000001</v>
      </c>
    </row>
    <row r="43" spans="1:10" x14ac:dyDescent="0.45">
      <c r="A43" t="s">
        <v>42</v>
      </c>
      <c r="B43" t="s">
        <v>55</v>
      </c>
      <c r="C43" t="s">
        <v>57</v>
      </c>
      <c r="D43" t="s">
        <v>13</v>
      </c>
      <c r="E43" t="s">
        <v>56</v>
      </c>
      <c r="F43" s="24">
        <v>851600</v>
      </c>
      <c r="G43" s="24">
        <v>6548700</v>
      </c>
      <c r="H43" s="24">
        <v>3273962</v>
      </c>
      <c r="I43" s="24">
        <v>654792</v>
      </c>
      <c r="J43" s="25">
        <v>0.76900000000000002</v>
      </c>
    </row>
    <row r="44" spans="1:10" x14ac:dyDescent="0.45">
      <c r="A44" t="s">
        <v>42</v>
      </c>
      <c r="B44" t="s">
        <v>58</v>
      </c>
      <c r="C44" t="s">
        <v>60</v>
      </c>
      <c r="D44" t="s">
        <v>13</v>
      </c>
      <c r="E44" t="s">
        <v>59</v>
      </c>
      <c r="F44" s="24">
        <v>129000000</v>
      </c>
      <c r="G44" s="24">
        <v>640000000</v>
      </c>
      <c r="H44" s="24">
        <v>1156616</v>
      </c>
      <c r="I44" s="24">
        <v>230861</v>
      </c>
      <c r="J44" s="25">
        <v>2E-3</v>
      </c>
    </row>
    <row r="45" spans="1:10" x14ac:dyDescent="0.45">
      <c r="A45" t="s">
        <v>42</v>
      </c>
      <c r="B45" t="s">
        <v>61</v>
      </c>
      <c r="C45" t="s">
        <v>63</v>
      </c>
      <c r="D45" t="s">
        <v>13</v>
      </c>
      <c r="E45" t="s">
        <v>249</v>
      </c>
      <c r="F45" s="24">
        <v>12000000</v>
      </c>
      <c r="G45" s="24">
        <v>41163050</v>
      </c>
      <c r="H45" s="24">
        <v>196370</v>
      </c>
      <c r="I45" s="24">
        <v>39196</v>
      </c>
      <c r="J45" s="25">
        <v>3.0000000000000001E-3</v>
      </c>
    </row>
    <row r="46" spans="1:10" x14ac:dyDescent="0.45">
      <c r="A46" t="s">
        <v>42</v>
      </c>
      <c r="B46" t="s">
        <v>64</v>
      </c>
      <c r="C46" t="s">
        <v>66</v>
      </c>
      <c r="D46" t="s">
        <v>13</v>
      </c>
      <c r="E46" t="s">
        <v>250</v>
      </c>
      <c r="F46" s="24">
        <v>10000000</v>
      </c>
      <c r="G46" s="24">
        <v>50000000</v>
      </c>
      <c r="H46" s="24">
        <v>5654594</v>
      </c>
      <c r="I46" s="24">
        <v>1129813</v>
      </c>
      <c r="J46" s="25">
        <v>0.113</v>
      </c>
    </row>
    <row r="47" spans="1:10" x14ac:dyDescent="0.45">
      <c r="A47" t="s">
        <v>42</v>
      </c>
      <c r="B47" t="s">
        <v>67</v>
      </c>
      <c r="C47" t="s">
        <v>44</v>
      </c>
      <c r="D47" t="s">
        <v>13</v>
      </c>
      <c r="E47" t="s">
        <v>251</v>
      </c>
      <c r="F47" s="24">
        <v>94000000</v>
      </c>
      <c r="G47" s="24">
        <v>472225576</v>
      </c>
      <c r="H47" s="24">
        <v>91196638</v>
      </c>
      <c r="I47" s="24">
        <v>18202922</v>
      </c>
      <c r="J47" s="25">
        <v>0.19400000000000001</v>
      </c>
    </row>
    <row r="48" spans="1:10" x14ac:dyDescent="0.45">
      <c r="A48" t="s">
        <v>42</v>
      </c>
      <c r="B48" t="s">
        <v>69</v>
      </c>
      <c r="C48" t="s">
        <v>44</v>
      </c>
      <c r="D48" t="s">
        <v>13</v>
      </c>
      <c r="E48" t="s">
        <v>252</v>
      </c>
      <c r="F48" s="24">
        <v>100000000</v>
      </c>
      <c r="G48" s="24">
        <v>494810000</v>
      </c>
      <c r="H48" s="24">
        <v>984201</v>
      </c>
      <c r="I48" s="24">
        <v>196840</v>
      </c>
      <c r="J48" s="25">
        <v>2E-3</v>
      </c>
    </row>
    <row r="49" spans="1:10" x14ac:dyDescent="0.45">
      <c r="A49" t="s">
        <v>42</v>
      </c>
      <c r="B49" t="s">
        <v>71</v>
      </c>
      <c r="C49" t="s">
        <v>44</v>
      </c>
      <c r="D49" t="s">
        <v>13</v>
      </c>
      <c r="E49" t="s">
        <v>253</v>
      </c>
      <c r="F49" s="24">
        <v>38530000</v>
      </c>
      <c r="G49" s="24">
        <v>190114726</v>
      </c>
      <c r="H49" s="24">
        <v>50302430</v>
      </c>
      <c r="I49" s="24">
        <v>10060486</v>
      </c>
      <c r="J49" s="25">
        <v>0.26100000000000001</v>
      </c>
    </row>
    <row r="50" spans="1:10" x14ac:dyDescent="0.45">
      <c r="A50" t="s">
        <v>42</v>
      </c>
      <c r="B50" t="s">
        <v>73</v>
      </c>
      <c r="C50" t="s">
        <v>44</v>
      </c>
      <c r="D50" t="s">
        <v>13</v>
      </c>
      <c r="E50" t="s">
        <v>254</v>
      </c>
      <c r="F50" s="24">
        <v>18393501</v>
      </c>
      <c r="G50">
        <v>0</v>
      </c>
      <c r="H50" s="24">
        <v>87948906</v>
      </c>
      <c r="I50" s="24">
        <v>17589781</v>
      </c>
      <c r="J50" s="25">
        <v>0.95599999999999996</v>
      </c>
    </row>
    <row r="51" spans="1:10" x14ac:dyDescent="0.45">
      <c r="A51" t="s">
        <v>42</v>
      </c>
      <c r="B51" t="s">
        <v>75</v>
      </c>
      <c r="C51" t="s">
        <v>44</v>
      </c>
      <c r="D51" t="s">
        <v>13</v>
      </c>
      <c r="E51" t="s">
        <v>76</v>
      </c>
      <c r="F51" s="24">
        <v>11310000</v>
      </c>
      <c r="G51" s="24">
        <v>123355000</v>
      </c>
      <c r="H51">
        <v>0</v>
      </c>
      <c r="I51">
        <v>0</v>
      </c>
      <c r="J51" s="25">
        <v>0</v>
      </c>
    </row>
    <row r="52" spans="1:10" x14ac:dyDescent="0.45">
      <c r="A52" t="s">
        <v>42</v>
      </c>
      <c r="B52" t="s">
        <v>77</v>
      </c>
      <c r="C52" t="s">
        <v>66</v>
      </c>
      <c r="D52" t="s">
        <v>13</v>
      </c>
      <c r="E52" t="s">
        <v>255</v>
      </c>
      <c r="F52" s="24">
        <v>20000000</v>
      </c>
      <c r="G52" s="24">
        <v>100000000</v>
      </c>
      <c r="H52" s="24">
        <v>28337028</v>
      </c>
      <c r="I52" s="24">
        <v>5658100</v>
      </c>
      <c r="J52" s="25">
        <v>0.28299999999999997</v>
      </c>
    </row>
    <row r="53" spans="1:10" x14ac:dyDescent="0.45">
      <c r="A53" t="s">
        <v>42</v>
      </c>
      <c r="B53" t="s">
        <v>79</v>
      </c>
      <c r="C53" t="s">
        <v>44</v>
      </c>
      <c r="D53" t="s">
        <v>13</v>
      </c>
      <c r="E53" t="s">
        <v>80</v>
      </c>
      <c r="F53" s="24">
        <v>22624468</v>
      </c>
      <c r="G53" s="24">
        <v>107476020</v>
      </c>
      <c r="H53" s="24">
        <v>33923671</v>
      </c>
      <c r="I53" s="24">
        <v>6773811</v>
      </c>
      <c r="J53" s="25">
        <v>0.29899999999999999</v>
      </c>
    </row>
    <row r="54" spans="1:10" x14ac:dyDescent="0.45">
      <c r="A54" t="s">
        <v>42</v>
      </c>
      <c r="B54" t="s">
        <v>81</v>
      </c>
      <c r="C54" t="s">
        <v>44</v>
      </c>
      <c r="D54" t="s">
        <v>3</v>
      </c>
      <c r="E54" t="s">
        <v>82</v>
      </c>
      <c r="F54" s="24">
        <v>14800000</v>
      </c>
      <c r="G54" s="24">
        <v>72601400</v>
      </c>
      <c r="H54" s="24">
        <v>254256</v>
      </c>
      <c r="I54" s="24">
        <v>50838</v>
      </c>
      <c r="J54" s="25">
        <v>3.0000000000000001E-3</v>
      </c>
    </row>
    <row r="55" spans="1:10" x14ac:dyDescent="0.45">
      <c r="A55" t="s">
        <v>42</v>
      </c>
      <c r="B55" t="s">
        <v>83</v>
      </c>
      <c r="C55" t="s">
        <v>44</v>
      </c>
      <c r="D55" t="s">
        <v>13</v>
      </c>
      <c r="E55" t="s">
        <v>256</v>
      </c>
      <c r="F55" s="24">
        <v>19000000</v>
      </c>
      <c r="G55" s="24">
        <v>177102000</v>
      </c>
      <c r="H55" s="24">
        <v>4633762</v>
      </c>
      <c r="I55" s="24">
        <v>925298</v>
      </c>
      <c r="J55" s="25">
        <v>4.9000000000000002E-2</v>
      </c>
    </row>
    <row r="56" spans="1:10" x14ac:dyDescent="0.45">
      <c r="A56" t="s">
        <v>42</v>
      </c>
      <c r="B56" t="s">
        <v>169</v>
      </c>
      <c r="C56" t="s">
        <v>44</v>
      </c>
      <c r="D56" t="s">
        <v>13</v>
      </c>
      <c r="E56" t="s">
        <v>177</v>
      </c>
      <c r="F56" s="24">
        <v>11889498</v>
      </c>
      <c r="G56">
        <v>0</v>
      </c>
      <c r="H56" s="24">
        <v>11276339</v>
      </c>
      <c r="I56" s="24">
        <v>2255539</v>
      </c>
      <c r="J56" s="25">
        <v>0.19</v>
      </c>
    </row>
    <row r="57" spans="1:10" x14ac:dyDescent="0.45">
      <c r="A57" t="s">
        <v>85</v>
      </c>
      <c r="B57" t="s">
        <v>1</v>
      </c>
      <c r="C57" t="s">
        <v>87</v>
      </c>
      <c r="D57" t="s">
        <v>13</v>
      </c>
      <c r="E57" t="s">
        <v>257</v>
      </c>
      <c r="F57" s="24">
        <v>7000000</v>
      </c>
      <c r="G57" s="24">
        <v>35070000</v>
      </c>
      <c r="H57" s="24">
        <v>5296419</v>
      </c>
      <c r="I57" s="24">
        <v>1060414</v>
      </c>
      <c r="J57" s="25">
        <v>0.152</v>
      </c>
    </row>
    <row r="58" spans="1:10" x14ac:dyDescent="0.45">
      <c r="A58" t="s">
        <v>85</v>
      </c>
      <c r="B58" t="s">
        <v>5</v>
      </c>
      <c r="C58" t="s">
        <v>87</v>
      </c>
      <c r="D58" t="s">
        <v>13</v>
      </c>
      <c r="E58" t="s">
        <v>258</v>
      </c>
      <c r="F58" s="24">
        <v>196400000</v>
      </c>
      <c r="G58" s="24">
        <v>983964000</v>
      </c>
      <c r="H58" s="24">
        <v>699965717</v>
      </c>
      <c r="I58" s="24">
        <v>140547091</v>
      </c>
      <c r="J58" s="25">
        <v>0.71599999999999997</v>
      </c>
    </row>
    <row r="59" spans="1:10" x14ac:dyDescent="0.45">
      <c r="A59" t="s">
        <v>85</v>
      </c>
      <c r="B59" t="s">
        <v>17</v>
      </c>
      <c r="C59" t="s">
        <v>87</v>
      </c>
      <c r="D59" t="s">
        <v>13</v>
      </c>
      <c r="E59" t="s">
        <v>259</v>
      </c>
      <c r="F59" s="24">
        <v>88000000</v>
      </c>
      <c r="G59" s="24">
        <v>440880000</v>
      </c>
      <c r="H59" s="24">
        <v>240913694</v>
      </c>
      <c r="I59" s="24">
        <v>48223990</v>
      </c>
      <c r="J59" s="25">
        <v>0.54800000000000004</v>
      </c>
    </row>
    <row r="60" spans="1:10" x14ac:dyDescent="0.45">
      <c r="A60" t="s">
        <v>85</v>
      </c>
      <c r="B60" t="s">
        <v>7</v>
      </c>
      <c r="C60" t="s">
        <v>87</v>
      </c>
      <c r="D60" t="s">
        <v>13</v>
      </c>
      <c r="E60" t="s">
        <v>260</v>
      </c>
      <c r="F60" s="24">
        <v>61999999</v>
      </c>
      <c r="G60" s="24">
        <v>310620000</v>
      </c>
      <c r="H60" s="24">
        <v>203360289</v>
      </c>
      <c r="I60" s="24">
        <v>40674441</v>
      </c>
      <c r="J60" s="25">
        <v>0.65600000000000003</v>
      </c>
    </row>
    <row r="61" spans="1:10" x14ac:dyDescent="0.45">
      <c r="A61" t="s">
        <v>85</v>
      </c>
      <c r="B61" t="s">
        <v>9</v>
      </c>
      <c r="C61" t="s">
        <v>87</v>
      </c>
      <c r="D61" t="s">
        <v>13</v>
      </c>
      <c r="E61" t="s">
        <v>261</v>
      </c>
      <c r="F61" s="24">
        <v>4000000</v>
      </c>
      <c r="G61" s="24">
        <v>20040000</v>
      </c>
      <c r="H61">
        <v>0</v>
      </c>
      <c r="I61">
        <v>0</v>
      </c>
      <c r="J61" s="25">
        <v>0</v>
      </c>
    </row>
    <row r="62" spans="1:10" x14ac:dyDescent="0.45">
      <c r="A62" t="s">
        <v>85</v>
      </c>
      <c r="B62" t="s">
        <v>11</v>
      </c>
      <c r="C62" t="s">
        <v>87</v>
      </c>
      <c r="D62" t="s">
        <v>13</v>
      </c>
      <c r="E62" t="s">
        <v>262</v>
      </c>
      <c r="F62" s="24">
        <v>400000</v>
      </c>
      <c r="G62" s="24">
        <v>2004000</v>
      </c>
      <c r="H62" s="24">
        <v>1738542</v>
      </c>
      <c r="I62" s="24">
        <v>347708</v>
      </c>
      <c r="J62" s="25">
        <v>0.86899999999999999</v>
      </c>
    </row>
    <row r="63" spans="1:10" x14ac:dyDescent="0.45">
      <c r="A63" t="s">
        <v>85</v>
      </c>
      <c r="B63" t="s">
        <v>55</v>
      </c>
      <c r="C63" t="s">
        <v>87</v>
      </c>
      <c r="D63" t="s">
        <v>13</v>
      </c>
      <c r="E63" t="s">
        <v>263</v>
      </c>
      <c r="F63" s="24">
        <v>4000000</v>
      </c>
      <c r="G63" s="24">
        <v>20040000</v>
      </c>
      <c r="H63" s="24">
        <v>5296429</v>
      </c>
      <c r="I63" s="24">
        <v>1058610</v>
      </c>
      <c r="J63" s="25">
        <v>0.26500000000000001</v>
      </c>
    </row>
    <row r="64" spans="1:10" x14ac:dyDescent="0.45">
      <c r="A64" t="s">
        <v>85</v>
      </c>
      <c r="B64" t="s">
        <v>58</v>
      </c>
      <c r="C64" t="s">
        <v>87</v>
      </c>
      <c r="D64" t="s">
        <v>13</v>
      </c>
      <c r="E64" t="s">
        <v>264</v>
      </c>
      <c r="F64" s="24">
        <v>10000000</v>
      </c>
      <c r="G64" s="24">
        <v>50100000</v>
      </c>
      <c r="H64" s="24">
        <v>49771000</v>
      </c>
      <c r="I64" s="24">
        <v>9954200</v>
      </c>
      <c r="J64" s="25">
        <v>0.995</v>
      </c>
    </row>
    <row r="65" spans="1:10" x14ac:dyDescent="0.45">
      <c r="A65" t="s">
        <v>85</v>
      </c>
      <c r="B65" t="s">
        <v>61</v>
      </c>
      <c r="C65" t="s">
        <v>54</v>
      </c>
      <c r="D65" t="s">
        <v>13</v>
      </c>
      <c r="E65" t="s">
        <v>265</v>
      </c>
      <c r="F65" s="24">
        <v>19250597</v>
      </c>
      <c r="G65" s="24">
        <v>103705000</v>
      </c>
      <c r="H65" s="24">
        <v>103537925</v>
      </c>
      <c r="I65" s="24">
        <v>20777581</v>
      </c>
      <c r="J65" s="25">
        <v>1.079</v>
      </c>
    </row>
    <row r="66" spans="1:10" x14ac:dyDescent="0.45">
      <c r="A66" t="s">
        <v>85</v>
      </c>
      <c r="B66" t="s">
        <v>64</v>
      </c>
      <c r="C66" t="s">
        <v>54</v>
      </c>
      <c r="D66" t="s">
        <v>13</v>
      </c>
      <c r="E66" t="s">
        <v>266</v>
      </c>
      <c r="F66" s="24">
        <v>61881919</v>
      </c>
      <c r="G66" s="24">
        <v>301945000</v>
      </c>
      <c r="H66" s="24">
        <v>104049987</v>
      </c>
      <c r="I66" s="24">
        <v>20800158</v>
      </c>
      <c r="J66" s="25">
        <v>0.33600000000000002</v>
      </c>
    </row>
    <row r="67" spans="1:10" x14ac:dyDescent="0.45">
      <c r="A67" t="s">
        <v>85</v>
      </c>
      <c r="B67" t="s">
        <v>67</v>
      </c>
      <c r="C67" t="s">
        <v>87</v>
      </c>
      <c r="D67" t="s">
        <v>3</v>
      </c>
      <c r="E67" t="s">
        <v>97</v>
      </c>
      <c r="F67" s="24">
        <v>100000000</v>
      </c>
      <c r="G67">
        <v>0</v>
      </c>
      <c r="H67">
        <v>0</v>
      </c>
      <c r="I67">
        <v>0</v>
      </c>
      <c r="J67" s="25">
        <v>0</v>
      </c>
    </row>
    <row r="68" spans="1:10" x14ac:dyDescent="0.45">
      <c r="A68" t="s">
        <v>85</v>
      </c>
      <c r="B68" t="s">
        <v>178</v>
      </c>
      <c r="C68" t="s">
        <v>54</v>
      </c>
      <c r="D68" t="s">
        <v>13</v>
      </c>
      <c r="E68" t="s">
        <v>179</v>
      </c>
      <c r="F68" s="24">
        <v>4000000</v>
      </c>
      <c r="G68" s="24">
        <v>20000000</v>
      </c>
      <c r="H68" s="24">
        <v>6733425</v>
      </c>
      <c r="I68" s="24">
        <v>1345288</v>
      </c>
      <c r="J68" s="25">
        <v>0.33600000000000002</v>
      </c>
    </row>
    <row r="69" spans="1:10" x14ac:dyDescent="0.45">
      <c r="A69" t="s">
        <v>98</v>
      </c>
      <c r="B69" t="s">
        <v>1</v>
      </c>
      <c r="C69" t="s">
        <v>44</v>
      </c>
      <c r="D69" t="s">
        <v>3</v>
      </c>
      <c r="E69" t="s">
        <v>267</v>
      </c>
      <c r="F69" s="24">
        <v>5297170</v>
      </c>
      <c r="G69" s="24">
        <v>4280941</v>
      </c>
      <c r="H69" s="24">
        <v>17345667</v>
      </c>
      <c r="I69" s="24">
        <v>3465664</v>
      </c>
      <c r="J69" s="25">
        <v>0.65400000000000003</v>
      </c>
    </row>
    <row r="70" spans="1:10" x14ac:dyDescent="0.45">
      <c r="A70" t="s">
        <v>98</v>
      </c>
      <c r="B70" t="s">
        <v>268</v>
      </c>
      <c r="C70" t="s">
        <v>63</v>
      </c>
      <c r="D70" t="s">
        <v>3</v>
      </c>
      <c r="E70" t="s">
        <v>101</v>
      </c>
      <c r="F70" s="24">
        <v>1050000000</v>
      </c>
      <c r="G70" s="24">
        <v>5168835000</v>
      </c>
      <c r="H70" s="24">
        <v>692124025</v>
      </c>
      <c r="I70" s="24">
        <v>138547169</v>
      </c>
      <c r="J70" s="25">
        <v>0.13200000000000001</v>
      </c>
    </row>
    <row r="71" spans="1:10" x14ac:dyDescent="0.45">
      <c r="A71" t="s">
        <v>98</v>
      </c>
      <c r="B71" t="s">
        <v>269</v>
      </c>
      <c r="C71" t="s">
        <v>63</v>
      </c>
      <c r="D71" t="s">
        <v>13</v>
      </c>
      <c r="E71" t="s">
        <v>101</v>
      </c>
      <c r="F71" s="24">
        <v>200000000</v>
      </c>
      <c r="G71" s="24">
        <v>984540000</v>
      </c>
      <c r="H71" s="24">
        <v>458203155</v>
      </c>
      <c r="I71" s="24">
        <v>91721479</v>
      </c>
      <c r="J71" s="25">
        <v>0.45900000000000002</v>
      </c>
    </row>
    <row r="72" spans="1:10" x14ac:dyDescent="0.45">
      <c r="A72" t="s">
        <v>98</v>
      </c>
      <c r="B72" t="s">
        <v>228</v>
      </c>
      <c r="C72" t="s">
        <v>63</v>
      </c>
      <c r="D72" t="s">
        <v>13</v>
      </c>
      <c r="E72" t="s">
        <v>102</v>
      </c>
      <c r="F72" s="24">
        <v>256500000</v>
      </c>
      <c r="G72" s="24">
        <v>1074594246</v>
      </c>
      <c r="H72" s="24">
        <v>6891368</v>
      </c>
      <c r="I72" s="24">
        <v>1375626</v>
      </c>
      <c r="J72" s="25">
        <v>5.0000000000000001E-3</v>
      </c>
    </row>
    <row r="73" spans="1:10" x14ac:dyDescent="0.45">
      <c r="A73" t="s">
        <v>98</v>
      </c>
      <c r="B73" t="s">
        <v>230</v>
      </c>
      <c r="C73" t="s">
        <v>63</v>
      </c>
      <c r="D73" t="s">
        <v>3</v>
      </c>
      <c r="E73" t="s">
        <v>102</v>
      </c>
      <c r="F73" s="24">
        <v>600000</v>
      </c>
      <c r="G73">
        <v>0</v>
      </c>
      <c r="H73">
        <v>0</v>
      </c>
      <c r="I73">
        <v>13</v>
      </c>
      <c r="J73" s="25">
        <v>0</v>
      </c>
    </row>
    <row r="74" spans="1:10" x14ac:dyDescent="0.45">
      <c r="A74" t="s">
        <v>98</v>
      </c>
      <c r="B74" t="s">
        <v>7</v>
      </c>
      <c r="C74" t="s">
        <v>63</v>
      </c>
      <c r="D74" t="s">
        <v>3</v>
      </c>
      <c r="E74" t="s">
        <v>270</v>
      </c>
      <c r="F74" s="24">
        <v>400000000</v>
      </c>
      <c r="G74" s="24">
        <v>972791819</v>
      </c>
      <c r="H74">
        <v>0</v>
      </c>
      <c r="I74">
        <v>0</v>
      </c>
      <c r="J74" s="25">
        <v>0</v>
      </c>
    </row>
    <row r="75" spans="1:10" x14ac:dyDescent="0.45">
      <c r="A75" t="s">
        <v>98</v>
      </c>
      <c r="B75" t="s">
        <v>9</v>
      </c>
      <c r="C75" t="s">
        <v>105</v>
      </c>
      <c r="D75" t="s">
        <v>13</v>
      </c>
      <c r="E75" t="s">
        <v>271</v>
      </c>
      <c r="F75" s="24">
        <v>25000000</v>
      </c>
      <c r="G75" s="24">
        <v>100896248</v>
      </c>
      <c r="H75" s="24">
        <v>44306376</v>
      </c>
      <c r="I75" s="24">
        <v>8859103</v>
      </c>
      <c r="J75" s="25">
        <v>0.35399999999999998</v>
      </c>
    </row>
    <row r="76" spans="1:10" x14ac:dyDescent="0.45">
      <c r="A76" t="s">
        <v>98</v>
      </c>
      <c r="B76" t="s">
        <v>58</v>
      </c>
      <c r="C76" t="s">
        <v>105</v>
      </c>
      <c r="D76" t="s">
        <v>13</v>
      </c>
      <c r="E76" t="s">
        <v>106</v>
      </c>
      <c r="F76" s="24">
        <v>183000000</v>
      </c>
      <c r="G76" s="24">
        <v>749982111</v>
      </c>
      <c r="H76" s="24">
        <v>249480419</v>
      </c>
      <c r="I76" s="24">
        <v>49876430</v>
      </c>
      <c r="J76" s="25">
        <v>0.27300000000000002</v>
      </c>
    </row>
    <row r="77" spans="1:10" x14ac:dyDescent="0.45">
      <c r="A77" t="s">
        <v>98</v>
      </c>
      <c r="B77" t="s">
        <v>61</v>
      </c>
      <c r="C77" t="s">
        <v>105</v>
      </c>
      <c r="D77" t="s">
        <v>13</v>
      </c>
      <c r="E77" t="s">
        <v>107</v>
      </c>
      <c r="F77" s="24">
        <v>1600000</v>
      </c>
      <c r="G77" s="24">
        <v>7602034</v>
      </c>
      <c r="H77" s="24">
        <v>5289943</v>
      </c>
      <c r="I77" s="24">
        <v>1057774</v>
      </c>
      <c r="J77" s="25">
        <v>0.66100000000000003</v>
      </c>
    </row>
    <row r="78" spans="1:10" x14ac:dyDescent="0.45">
      <c r="A78" t="s">
        <v>98</v>
      </c>
      <c r="B78" t="s">
        <v>64</v>
      </c>
      <c r="C78" t="s">
        <v>105</v>
      </c>
      <c r="D78" t="s">
        <v>13</v>
      </c>
      <c r="E78" t="s">
        <v>272</v>
      </c>
      <c r="F78" s="24">
        <v>4000000</v>
      </c>
      <c r="G78" s="24">
        <v>27362417</v>
      </c>
      <c r="H78" s="24">
        <v>8999756</v>
      </c>
      <c r="I78" s="24">
        <v>1798801</v>
      </c>
      <c r="J78" s="25">
        <v>0.45</v>
      </c>
    </row>
    <row r="79" spans="1:10" x14ac:dyDescent="0.45">
      <c r="A79" t="s">
        <v>98</v>
      </c>
      <c r="B79" t="s">
        <v>167</v>
      </c>
      <c r="C79" t="s">
        <v>105</v>
      </c>
      <c r="D79" t="s">
        <v>13</v>
      </c>
      <c r="E79" t="s">
        <v>180</v>
      </c>
      <c r="F79" s="24">
        <v>3430000</v>
      </c>
      <c r="G79" s="24">
        <v>82392397</v>
      </c>
      <c r="H79" s="24">
        <v>22024310</v>
      </c>
      <c r="I79" s="24">
        <v>4403396</v>
      </c>
      <c r="J79" s="25">
        <v>1.284</v>
      </c>
    </row>
    <row r="80" spans="1:10" x14ac:dyDescent="0.45">
      <c r="A80" t="s">
        <v>109</v>
      </c>
      <c r="B80" t="s">
        <v>1</v>
      </c>
      <c r="C80" t="s">
        <v>33</v>
      </c>
      <c r="D80" t="s">
        <v>13</v>
      </c>
      <c r="E80" t="s">
        <v>273</v>
      </c>
      <c r="F80" s="24">
        <v>904000000</v>
      </c>
      <c r="G80" s="24">
        <v>3834427029</v>
      </c>
      <c r="H80" s="24">
        <v>2110474264</v>
      </c>
      <c r="I80" s="24">
        <v>421563069</v>
      </c>
      <c r="J80" s="25">
        <v>0.46600000000000003</v>
      </c>
    </row>
    <row r="81" spans="1:10" x14ac:dyDescent="0.45">
      <c r="A81" t="s">
        <v>109</v>
      </c>
      <c r="B81" t="s">
        <v>5</v>
      </c>
      <c r="C81" t="s">
        <v>33</v>
      </c>
      <c r="D81" t="s">
        <v>3</v>
      </c>
      <c r="E81" t="s">
        <v>274</v>
      </c>
      <c r="F81" s="24">
        <v>145341508</v>
      </c>
      <c r="G81" s="24">
        <v>1196950249</v>
      </c>
      <c r="H81" s="24">
        <v>251270697</v>
      </c>
      <c r="I81" s="24">
        <v>50186292</v>
      </c>
      <c r="J81" s="25">
        <v>0.34499999999999997</v>
      </c>
    </row>
    <row r="82" spans="1:10" x14ac:dyDescent="0.45">
      <c r="A82" t="s">
        <v>109</v>
      </c>
      <c r="B82" t="s">
        <v>228</v>
      </c>
      <c r="C82" t="s">
        <v>33</v>
      </c>
      <c r="D82" t="s">
        <v>3</v>
      </c>
      <c r="E82" t="s">
        <v>275</v>
      </c>
      <c r="F82" s="24">
        <v>287500000</v>
      </c>
      <c r="G82">
        <v>0</v>
      </c>
      <c r="H82" s="24">
        <v>1393258655</v>
      </c>
      <c r="I82" s="24">
        <v>278369270</v>
      </c>
      <c r="J82" s="25">
        <v>0.96799999999999997</v>
      </c>
    </row>
    <row r="83" spans="1:10" x14ac:dyDescent="0.45">
      <c r="A83" t="s">
        <v>109</v>
      </c>
      <c r="B83" t="s">
        <v>230</v>
      </c>
      <c r="C83" t="s">
        <v>33</v>
      </c>
      <c r="D83" t="s">
        <v>13</v>
      </c>
      <c r="E83" t="s">
        <v>275</v>
      </c>
      <c r="F83" s="24">
        <v>287500000</v>
      </c>
      <c r="G83" s="24">
        <v>2703263284</v>
      </c>
      <c r="H83">
        <v>0</v>
      </c>
      <c r="I83">
        <v>0</v>
      </c>
      <c r="J83" s="25">
        <v>0</v>
      </c>
    </row>
    <row r="84" spans="1:10" x14ac:dyDescent="0.45">
      <c r="A84" t="s">
        <v>109</v>
      </c>
      <c r="B84" t="s">
        <v>7</v>
      </c>
      <c r="C84" t="s">
        <v>33</v>
      </c>
      <c r="D84" t="s">
        <v>3</v>
      </c>
      <c r="E84" t="s">
        <v>276</v>
      </c>
      <c r="F84" s="24">
        <v>25197281</v>
      </c>
      <c r="G84" s="24">
        <v>222879664</v>
      </c>
      <c r="H84" s="24">
        <v>74446271</v>
      </c>
      <c r="I84" s="24">
        <v>14879294</v>
      </c>
      <c r="J84" s="25">
        <v>0.59099999999999997</v>
      </c>
    </row>
    <row r="85" spans="1:10" x14ac:dyDescent="0.45">
      <c r="A85" t="s">
        <v>114</v>
      </c>
      <c r="B85" t="s">
        <v>1</v>
      </c>
      <c r="C85" t="s">
        <v>63</v>
      </c>
      <c r="D85" t="s">
        <v>3</v>
      </c>
      <c r="E85" t="s">
        <v>277</v>
      </c>
      <c r="F85" s="24">
        <v>102085000</v>
      </c>
      <c r="G85" s="24">
        <v>539196815</v>
      </c>
      <c r="H85" s="24">
        <v>231104247</v>
      </c>
      <c r="I85" s="24">
        <v>46174569</v>
      </c>
      <c r="J85" s="25">
        <v>0.45200000000000001</v>
      </c>
    </row>
    <row r="86" spans="1:10" x14ac:dyDescent="0.45">
      <c r="A86" t="s">
        <v>114</v>
      </c>
      <c r="B86" t="s">
        <v>5</v>
      </c>
      <c r="C86" t="s">
        <v>63</v>
      </c>
      <c r="D86" t="s">
        <v>3</v>
      </c>
      <c r="E86" t="s">
        <v>278</v>
      </c>
      <c r="F86" s="24">
        <v>34728928</v>
      </c>
      <c r="G86" s="24">
        <v>170960096</v>
      </c>
      <c r="H86" s="24">
        <v>28228600</v>
      </c>
      <c r="I86" s="24">
        <v>5637432</v>
      </c>
      <c r="J86" s="25">
        <v>0.16200000000000001</v>
      </c>
    </row>
    <row r="87" spans="1:10" x14ac:dyDescent="0.45">
      <c r="A87" t="s">
        <v>114</v>
      </c>
      <c r="B87" t="s">
        <v>17</v>
      </c>
      <c r="C87" t="s">
        <v>33</v>
      </c>
      <c r="D87" t="s">
        <v>13</v>
      </c>
      <c r="E87" t="s">
        <v>279</v>
      </c>
      <c r="F87" s="24">
        <v>1500000</v>
      </c>
      <c r="G87">
        <v>0</v>
      </c>
      <c r="H87" s="24">
        <v>234260</v>
      </c>
      <c r="I87" s="24">
        <v>47040</v>
      </c>
      <c r="J87" s="25">
        <v>3.1E-2</v>
      </c>
    </row>
    <row r="88" spans="1:10" x14ac:dyDescent="0.45">
      <c r="A88" t="s">
        <v>114</v>
      </c>
      <c r="B88" t="s">
        <v>7</v>
      </c>
      <c r="C88" t="s">
        <v>33</v>
      </c>
      <c r="D88" t="s">
        <v>3</v>
      </c>
      <c r="E88" t="s">
        <v>280</v>
      </c>
      <c r="F88" s="24">
        <v>24302153</v>
      </c>
      <c r="G88" s="24">
        <v>96359918</v>
      </c>
      <c r="H88" s="24">
        <v>44805496</v>
      </c>
      <c r="I88" s="24">
        <v>8943931</v>
      </c>
      <c r="J88" s="25">
        <v>0.36799999999999999</v>
      </c>
    </row>
    <row r="89" spans="1:10" x14ac:dyDescent="0.45">
      <c r="A89" t="s">
        <v>114</v>
      </c>
      <c r="B89" t="s">
        <v>9</v>
      </c>
      <c r="C89" t="s">
        <v>36</v>
      </c>
      <c r="D89" t="s">
        <v>13</v>
      </c>
      <c r="E89" t="s">
        <v>281</v>
      </c>
      <c r="F89" s="24">
        <v>7790000</v>
      </c>
      <c r="G89" s="24">
        <v>16467978</v>
      </c>
      <c r="H89" s="24">
        <v>18055466</v>
      </c>
      <c r="I89" s="24">
        <v>3609702</v>
      </c>
      <c r="J89" s="25">
        <v>0.46300000000000002</v>
      </c>
    </row>
    <row r="90" spans="1:10" x14ac:dyDescent="0.45">
      <c r="A90" t="s">
        <v>114</v>
      </c>
      <c r="B90" t="s">
        <v>11</v>
      </c>
      <c r="C90" t="s">
        <v>36</v>
      </c>
      <c r="D90" t="s">
        <v>13</v>
      </c>
      <c r="E90" t="s">
        <v>120</v>
      </c>
      <c r="F90" s="24">
        <v>3750000</v>
      </c>
      <c r="G90" s="24">
        <v>18750000</v>
      </c>
      <c r="H90" s="24">
        <v>9907429</v>
      </c>
      <c r="I90" s="24">
        <v>1979771</v>
      </c>
      <c r="J90" s="25">
        <v>0.52800000000000002</v>
      </c>
    </row>
    <row r="91" spans="1:10" x14ac:dyDescent="0.45">
      <c r="A91" t="s">
        <v>114</v>
      </c>
      <c r="B91" t="s">
        <v>55</v>
      </c>
      <c r="C91" t="s">
        <v>36</v>
      </c>
      <c r="D91" t="s">
        <v>13</v>
      </c>
      <c r="E91" t="s">
        <v>121</v>
      </c>
      <c r="F91" s="24">
        <v>5460000</v>
      </c>
      <c r="G91" s="24">
        <v>19918644</v>
      </c>
      <c r="H91" s="24">
        <v>25686506</v>
      </c>
      <c r="I91" s="24">
        <v>5129592</v>
      </c>
      <c r="J91" s="25">
        <v>0.94</v>
      </c>
    </row>
    <row r="92" spans="1:10" x14ac:dyDescent="0.45">
      <c r="A92" t="s">
        <v>114</v>
      </c>
      <c r="B92" t="s">
        <v>169</v>
      </c>
      <c r="C92" t="s">
        <v>44</v>
      </c>
      <c r="D92" t="s">
        <v>3</v>
      </c>
      <c r="E92" t="s">
        <v>181</v>
      </c>
      <c r="F92" s="24">
        <v>10000000</v>
      </c>
      <c r="G92" s="24">
        <v>50000000</v>
      </c>
      <c r="H92">
        <v>0</v>
      </c>
      <c r="I92">
        <v>0</v>
      </c>
      <c r="J92" s="25">
        <v>0</v>
      </c>
    </row>
    <row r="93" spans="1:10" x14ac:dyDescent="0.45">
      <c r="A93" t="s">
        <v>114</v>
      </c>
      <c r="B93" t="s">
        <v>182</v>
      </c>
      <c r="C93" t="s">
        <v>36</v>
      </c>
      <c r="D93" t="s">
        <v>13</v>
      </c>
      <c r="E93" t="s">
        <v>183</v>
      </c>
      <c r="F93" s="24">
        <v>1000000</v>
      </c>
      <c r="G93" s="24">
        <v>5000000</v>
      </c>
      <c r="H93" s="24">
        <v>1377416</v>
      </c>
      <c r="I93" s="24">
        <v>276022</v>
      </c>
      <c r="J93" s="25">
        <v>0.27600000000000002</v>
      </c>
    </row>
    <row r="94" spans="1:10" x14ac:dyDescent="0.45">
      <c r="A94" t="s">
        <v>122</v>
      </c>
      <c r="B94" t="s">
        <v>222</v>
      </c>
      <c r="C94" t="s">
        <v>47</v>
      </c>
      <c r="D94" t="s">
        <v>13</v>
      </c>
      <c r="E94" t="s">
        <v>282</v>
      </c>
      <c r="F94" s="24">
        <v>120250000</v>
      </c>
      <c r="G94" s="24">
        <v>81210611</v>
      </c>
      <c r="H94" s="24">
        <v>919202747</v>
      </c>
      <c r="I94" s="24">
        <v>183565552</v>
      </c>
      <c r="J94" s="25">
        <v>1.5269999999999999</v>
      </c>
    </row>
    <row r="95" spans="1:10" x14ac:dyDescent="0.45">
      <c r="A95" t="s">
        <v>122</v>
      </c>
      <c r="B95" t="s">
        <v>283</v>
      </c>
      <c r="C95" t="s">
        <v>47</v>
      </c>
      <c r="D95" t="s">
        <v>13</v>
      </c>
      <c r="E95" t="s">
        <v>284</v>
      </c>
      <c r="F95" s="24">
        <v>80250000</v>
      </c>
      <c r="G95" s="24">
        <v>602439656</v>
      </c>
      <c r="H95">
        <v>0</v>
      </c>
      <c r="I95">
        <v>0</v>
      </c>
      <c r="J95" s="25">
        <v>0</v>
      </c>
    </row>
    <row r="96" spans="1:10" x14ac:dyDescent="0.45">
      <c r="A96" t="s">
        <v>122</v>
      </c>
      <c r="B96" t="s">
        <v>285</v>
      </c>
      <c r="C96" t="s">
        <v>47</v>
      </c>
      <c r="D96" t="s">
        <v>13</v>
      </c>
      <c r="E96" t="s">
        <v>286</v>
      </c>
      <c r="F96" s="24">
        <v>10854000</v>
      </c>
      <c r="G96" s="24">
        <v>128725986</v>
      </c>
      <c r="H96">
        <v>0</v>
      </c>
      <c r="I96">
        <v>0</v>
      </c>
      <c r="J96" s="25">
        <v>0</v>
      </c>
    </row>
    <row r="97" spans="1:10" x14ac:dyDescent="0.45">
      <c r="A97" t="s">
        <v>122</v>
      </c>
      <c r="B97" t="s">
        <v>287</v>
      </c>
      <c r="C97" t="s">
        <v>47</v>
      </c>
      <c r="D97" t="s">
        <v>13</v>
      </c>
      <c r="E97" t="s">
        <v>288</v>
      </c>
      <c r="F97" s="24">
        <v>2016807</v>
      </c>
      <c r="G97" s="24">
        <v>945211</v>
      </c>
      <c r="H97">
        <v>0</v>
      </c>
      <c r="I97">
        <v>0</v>
      </c>
      <c r="J97" s="25">
        <v>0</v>
      </c>
    </row>
    <row r="98" spans="1:10" x14ac:dyDescent="0.45">
      <c r="A98" t="s">
        <v>122</v>
      </c>
      <c r="B98" t="s">
        <v>289</v>
      </c>
      <c r="C98" t="s">
        <v>47</v>
      </c>
      <c r="D98" t="s">
        <v>13</v>
      </c>
      <c r="E98" t="s">
        <v>290</v>
      </c>
      <c r="F98" s="24">
        <v>275549474</v>
      </c>
      <c r="G98" s="24">
        <v>8898891853</v>
      </c>
      <c r="H98" s="24">
        <v>2120801994</v>
      </c>
      <c r="I98" s="24">
        <v>423615541</v>
      </c>
      <c r="J98" s="25">
        <v>1.5369999999999999</v>
      </c>
    </row>
    <row r="99" spans="1:10" x14ac:dyDescent="0.45">
      <c r="A99" t="s">
        <v>122</v>
      </c>
      <c r="B99" t="s">
        <v>291</v>
      </c>
      <c r="C99" t="s">
        <v>47</v>
      </c>
      <c r="D99" t="s">
        <v>3</v>
      </c>
      <c r="E99" t="s">
        <v>290</v>
      </c>
      <c r="F99" s="24">
        <v>259886530</v>
      </c>
      <c r="G99">
        <v>0</v>
      </c>
      <c r="H99">
        <v>0</v>
      </c>
      <c r="I99">
        <v>0</v>
      </c>
      <c r="J99" s="25">
        <v>0</v>
      </c>
    </row>
    <row r="100" spans="1:10" x14ac:dyDescent="0.45">
      <c r="A100" t="s">
        <v>122</v>
      </c>
      <c r="B100" t="s">
        <v>292</v>
      </c>
      <c r="C100" t="s">
        <v>47</v>
      </c>
      <c r="D100" t="s">
        <v>13</v>
      </c>
      <c r="E100" t="s">
        <v>293</v>
      </c>
      <c r="F100" s="24">
        <v>74026000</v>
      </c>
      <c r="G100" s="24">
        <v>250189991</v>
      </c>
      <c r="H100">
        <v>0</v>
      </c>
      <c r="I100">
        <v>0</v>
      </c>
      <c r="J100" s="25">
        <v>0</v>
      </c>
    </row>
    <row r="101" spans="1:10" x14ac:dyDescent="0.45">
      <c r="A101" t="s">
        <v>122</v>
      </c>
      <c r="B101" t="s">
        <v>294</v>
      </c>
      <c r="C101" t="s">
        <v>47</v>
      </c>
      <c r="D101" t="s">
        <v>13</v>
      </c>
      <c r="E101" t="s">
        <v>131</v>
      </c>
      <c r="F101" s="24">
        <v>150380000</v>
      </c>
      <c r="G101" s="24">
        <v>1625615899</v>
      </c>
      <c r="H101">
        <v>0</v>
      </c>
      <c r="I101">
        <v>0</v>
      </c>
      <c r="J101" s="25">
        <v>0</v>
      </c>
    </row>
    <row r="102" spans="1:10" x14ac:dyDescent="0.45">
      <c r="A102" t="s">
        <v>122</v>
      </c>
      <c r="B102" t="s">
        <v>7</v>
      </c>
      <c r="C102" t="s">
        <v>60</v>
      </c>
      <c r="D102" t="s">
        <v>3</v>
      </c>
      <c r="E102" t="s">
        <v>132</v>
      </c>
      <c r="F102" s="24">
        <v>183590800</v>
      </c>
      <c r="G102">
        <v>0</v>
      </c>
      <c r="H102">
        <v>0</v>
      </c>
      <c r="I102">
        <v>0</v>
      </c>
      <c r="J102" s="25">
        <v>0</v>
      </c>
    </row>
    <row r="103" spans="1:10" x14ac:dyDescent="0.45">
      <c r="A103" t="s">
        <v>122</v>
      </c>
      <c r="B103" t="s">
        <v>169</v>
      </c>
      <c r="C103" t="s">
        <v>47</v>
      </c>
      <c r="D103" t="s">
        <v>13</v>
      </c>
      <c r="E103" t="s">
        <v>184</v>
      </c>
      <c r="F103" s="24">
        <v>70180000</v>
      </c>
      <c r="G103">
        <v>0</v>
      </c>
      <c r="H103" s="24">
        <v>8500000</v>
      </c>
      <c r="I103" s="24">
        <v>1700000</v>
      </c>
      <c r="J103" s="25">
        <v>2.4E-2</v>
      </c>
    </row>
    <row r="104" spans="1:10" x14ac:dyDescent="0.45">
      <c r="A104" t="s">
        <v>122</v>
      </c>
      <c r="B104" t="s">
        <v>167</v>
      </c>
      <c r="C104" t="s">
        <v>47</v>
      </c>
      <c r="D104" t="s">
        <v>13</v>
      </c>
      <c r="E104" t="s">
        <v>185</v>
      </c>
      <c r="F104" s="24">
        <v>30053000</v>
      </c>
      <c r="G104">
        <v>0</v>
      </c>
      <c r="H104">
        <v>0</v>
      </c>
      <c r="I104">
        <v>0</v>
      </c>
      <c r="J104" s="25">
        <v>0</v>
      </c>
    </row>
    <row r="105" spans="1:10" x14ac:dyDescent="0.45">
      <c r="A105" t="s">
        <v>122</v>
      </c>
      <c r="B105" t="s">
        <v>182</v>
      </c>
      <c r="C105" t="s">
        <v>47</v>
      </c>
      <c r="D105" t="s">
        <v>13</v>
      </c>
      <c r="E105" t="s">
        <v>186</v>
      </c>
      <c r="F105" s="24">
        <v>80280000</v>
      </c>
      <c r="G105" s="24">
        <v>244967987</v>
      </c>
      <c r="H105" s="24">
        <v>75108781</v>
      </c>
      <c r="I105" s="24">
        <v>15012569</v>
      </c>
      <c r="J105" s="25">
        <v>0.187</v>
      </c>
    </row>
    <row r="106" spans="1:10" x14ac:dyDescent="0.45">
      <c r="A106" t="s">
        <v>133</v>
      </c>
      <c r="B106" t="s">
        <v>1</v>
      </c>
      <c r="C106" t="s">
        <v>54</v>
      </c>
      <c r="D106" t="s">
        <v>13</v>
      </c>
      <c r="E106" t="s">
        <v>295</v>
      </c>
      <c r="F106" s="24">
        <v>48611800</v>
      </c>
      <c r="G106" s="24">
        <v>251613000</v>
      </c>
      <c r="H106" s="24">
        <v>68141608</v>
      </c>
      <c r="I106" s="24">
        <v>13613396</v>
      </c>
      <c r="J106" s="25">
        <v>0.28000000000000003</v>
      </c>
    </row>
    <row r="107" spans="1:10" x14ac:dyDescent="0.45">
      <c r="A107" t="s">
        <v>133</v>
      </c>
      <c r="B107" t="s">
        <v>5</v>
      </c>
      <c r="C107" t="s">
        <v>54</v>
      </c>
      <c r="D107" t="s">
        <v>13</v>
      </c>
      <c r="E107" t="s">
        <v>135</v>
      </c>
      <c r="F107" s="24">
        <v>34032327</v>
      </c>
      <c r="G107" s="24">
        <v>138846000</v>
      </c>
      <c r="H107" s="24">
        <v>28203517</v>
      </c>
      <c r="I107" s="24">
        <v>5631914</v>
      </c>
      <c r="J107" s="25">
        <v>0.16600000000000001</v>
      </c>
    </row>
    <row r="108" spans="1:10" x14ac:dyDescent="0.45">
      <c r="A108" t="s">
        <v>133</v>
      </c>
      <c r="B108" t="s">
        <v>17</v>
      </c>
      <c r="C108" t="s">
        <v>54</v>
      </c>
      <c r="D108" t="s">
        <v>13</v>
      </c>
      <c r="E108" t="s">
        <v>296</v>
      </c>
      <c r="F108" s="24">
        <v>4540000</v>
      </c>
      <c r="G108" s="24">
        <v>22700000</v>
      </c>
      <c r="H108" s="24">
        <v>14615650</v>
      </c>
      <c r="I108" s="24">
        <v>2923075</v>
      </c>
      <c r="J108" s="25">
        <v>0.64400000000000002</v>
      </c>
    </row>
    <row r="109" spans="1:10" x14ac:dyDescent="0.45">
      <c r="A109" t="s">
        <v>133</v>
      </c>
      <c r="B109" t="s">
        <v>7</v>
      </c>
      <c r="C109" t="s">
        <v>54</v>
      </c>
      <c r="D109" t="s">
        <v>13</v>
      </c>
      <c r="E109" t="s">
        <v>297</v>
      </c>
      <c r="F109" s="24">
        <v>77694085</v>
      </c>
      <c r="G109" s="24">
        <v>424949000</v>
      </c>
      <c r="H109" s="24">
        <v>38268312</v>
      </c>
      <c r="I109" s="24">
        <v>7638863</v>
      </c>
      <c r="J109" s="25">
        <v>9.8000000000000004E-2</v>
      </c>
    </row>
    <row r="110" spans="1:10" x14ac:dyDescent="0.45">
      <c r="A110" t="s">
        <v>133</v>
      </c>
      <c r="B110" t="s">
        <v>167</v>
      </c>
      <c r="C110" t="s">
        <v>54</v>
      </c>
      <c r="D110" t="s">
        <v>13</v>
      </c>
      <c r="E110" t="s">
        <v>187</v>
      </c>
      <c r="F110" s="24">
        <v>730000</v>
      </c>
      <c r="G110" s="24">
        <v>29861000</v>
      </c>
      <c r="H110" s="24">
        <v>3486270</v>
      </c>
      <c r="I110" s="24">
        <v>696955</v>
      </c>
      <c r="J110" s="25">
        <v>0.95499999999999996</v>
      </c>
    </row>
    <row r="111" spans="1:10" x14ac:dyDescent="0.45">
      <c r="A111" t="s">
        <v>133</v>
      </c>
      <c r="B111" t="s">
        <v>182</v>
      </c>
      <c r="C111" t="s">
        <v>54</v>
      </c>
      <c r="D111" t="s">
        <v>13</v>
      </c>
      <c r="E111" t="s">
        <v>188</v>
      </c>
      <c r="F111" s="24">
        <v>2000000</v>
      </c>
      <c r="G111" s="24">
        <v>14000000</v>
      </c>
      <c r="H111" s="24">
        <v>10532425</v>
      </c>
      <c r="I111" s="24">
        <v>2106911</v>
      </c>
      <c r="J111" s="25">
        <v>1.054</v>
      </c>
    </row>
    <row r="112" spans="1:10" x14ac:dyDescent="0.45">
      <c r="A112" t="s">
        <v>133</v>
      </c>
      <c r="B112" t="s">
        <v>178</v>
      </c>
      <c r="C112" t="s">
        <v>54</v>
      </c>
      <c r="D112" t="s">
        <v>3</v>
      </c>
      <c r="E112" t="s">
        <v>189</v>
      </c>
      <c r="F112" s="24">
        <v>300000</v>
      </c>
      <c r="G112" s="24">
        <v>1500000</v>
      </c>
      <c r="H112" s="24">
        <v>1483260</v>
      </c>
      <c r="I112" s="24">
        <v>296652</v>
      </c>
      <c r="J112" s="25">
        <v>0.98899999999999999</v>
      </c>
    </row>
    <row r="113" spans="1:10" x14ac:dyDescent="0.45">
      <c r="A113" t="s">
        <v>133</v>
      </c>
      <c r="B113" t="s">
        <v>190</v>
      </c>
      <c r="C113" t="s">
        <v>54</v>
      </c>
      <c r="D113" t="s">
        <v>3</v>
      </c>
      <c r="E113" t="s">
        <v>191</v>
      </c>
      <c r="F113" s="24">
        <v>1190000</v>
      </c>
      <c r="G113" s="24">
        <v>14080000</v>
      </c>
      <c r="H113" s="24">
        <v>5928335</v>
      </c>
      <c r="I113" s="24">
        <v>1185667</v>
      </c>
      <c r="J113" s="25">
        <v>0.996</v>
      </c>
    </row>
    <row r="114" spans="1:10" x14ac:dyDescent="0.45">
      <c r="A114" t="s">
        <v>138</v>
      </c>
      <c r="B114" t="s">
        <v>9</v>
      </c>
      <c r="C114" t="s">
        <v>63</v>
      </c>
      <c r="D114" t="s">
        <v>13</v>
      </c>
      <c r="E114" t="s">
        <v>298</v>
      </c>
      <c r="F114" s="24">
        <v>12841000</v>
      </c>
      <c r="G114" s="24">
        <v>63958140</v>
      </c>
      <c r="H114" s="24">
        <v>57358757</v>
      </c>
      <c r="I114" s="24">
        <v>11471751</v>
      </c>
      <c r="J114" s="25">
        <v>0.89300000000000002</v>
      </c>
    </row>
    <row r="115" spans="1:10" x14ac:dyDescent="0.45">
      <c r="A115" t="s">
        <v>138</v>
      </c>
      <c r="B115" t="s">
        <v>169</v>
      </c>
      <c r="C115" t="s">
        <v>161</v>
      </c>
      <c r="D115" t="s">
        <v>13</v>
      </c>
      <c r="E115" t="s">
        <v>192</v>
      </c>
      <c r="F115" s="24">
        <v>11930000</v>
      </c>
      <c r="G115" s="24">
        <v>222337000</v>
      </c>
      <c r="H115" s="24">
        <v>34652223</v>
      </c>
      <c r="I115" s="24">
        <v>6924010</v>
      </c>
      <c r="J115" s="25">
        <v>0.57999999999999996</v>
      </c>
    </row>
    <row r="116" spans="1:10" x14ac:dyDescent="0.45">
      <c r="A116" t="s">
        <v>138</v>
      </c>
      <c r="B116" t="s">
        <v>167</v>
      </c>
      <c r="C116" t="s">
        <v>161</v>
      </c>
      <c r="D116" t="s">
        <v>13</v>
      </c>
      <c r="E116" t="s">
        <v>193</v>
      </c>
      <c r="F116" s="24">
        <v>14180000</v>
      </c>
      <c r="G116">
        <v>0</v>
      </c>
      <c r="H116" s="24">
        <v>19165734</v>
      </c>
      <c r="I116" s="24">
        <v>3827288</v>
      </c>
      <c r="J116" s="25">
        <v>0.27</v>
      </c>
    </row>
    <row r="117" spans="1:10" x14ac:dyDescent="0.45">
      <c r="A117" t="s">
        <v>138</v>
      </c>
      <c r="B117" t="s">
        <v>182</v>
      </c>
      <c r="C117" t="s">
        <v>66</v>
      </c>
      <c r="D117" t="s">
        <v>13</v>
      </c>
      <c r="E117" t="s">
        <v>194</v>
      </c>
      <c r="F117" s="24">
        <v>14000000</v>
      </c>
      <c r="G117" s="24">
        <v>70000000</v>
      </c>
      <c r="H117" s="24">
        <v>34894781</v>
      </c>
      <c r="I117" s="24">
        <v>6977026</v>
      </c>
      <c r="J117" s="25">
        <v>0.498</v>
      </c>
    </row>
    <row r="118" spans="1:10" x14ac:dyDescent="0.45">
      <c r="A118" t="s">
        <v>138</v>
      </c>
      <c r="B118" t="s">
        <v>174</v>
      </c>
      <c r="C118" t="s">
        <v>54</v>
      </c>
      <c r="D118" t="s">
        <v>13</v>
      </c>
      <c r="E118" t="s">
        <v>195</v>
      </c>
      <c r="F118" s="24">
        <v>2000000</v>
      </c>
      <c r="G118" s="24">
        <v>5022000</v>
      </c>
      <c r="H118" s="24">
        <v>4995997</v>
      </c>
      <c r="I118" s="24">
        <v>998560</v>
      </c>
      <c r="J118" s="25">
        <v>0.499</v>
      </c>
    </row>
    <row r="119" spans="1:10" x14ac:dyDescent="0.45">
      <c r="A119" t="s">
        <v>138</v>
      </c>
      <c r="B119" t="s">
        <v>196</v>
      </c>
      <c r="C119" t="s">
        <v>57</v>
      </c>
      <c r="D119" t="s">
        <v>13</v>
      </c>
      <c r="E119" t="s">
        <v>197</v>
      </c>
      <c r="F119" s="24">
        <v>4600000</v>
      </c>
      <c r="G119" s="24">
        <v>13105800</v>
      </c>
      <c r="H119" s="24">
        <v>13406984</v>
      </c>
      <c r="I119" s="24">
        <v>2680824</v>
      </c>
      <c r="J119" s="25">
        <v>0.58299999999999996</v>
      </c>
    </row>
    <row r="120" spans="1:10" x14ac:dyDescent="0.45">
      <c r="A120" t="s">
        <v>138</v>
      </c>
      <c r="B120" t="s">
        <v>198</v>
      </c>
      <c r="C120" t="s">
        <v>161</v>
      </c>
      <c r="D120" t="s">
        <v>13</v>
      </c>
      <c r="E120" t="s">
        <v>199</v>
      </c>
      <c r="F120" s="24">
        <v>17830000</v>
      </c>
      <c r="G120">
        <v>0</v>
      </c>
      <c r="H120" s="24">
        <v>5187114</v>
      </c>
      <c r="I120" s="24">
        <v>1041493</v>
      </c>
      <c r="J120" s="25">
        <v>5.8000000000000003E-2</v>
      </c>
    </row>
    <row r="121" spans="1:10" x14ac:dyDescent="0.45">
      <c r="A121" t="s">
        <v>140</v>
      </c>
      <c r="B121" t="s">
        <v>222</v>
      </c>
      <c r="C121" t="s">
        <v>33</v>
      </c>
      <c r="D121" t="s">
        <v>13</v>
      </c>
      <c r="E121" t="s">
        <v>141</v>
      </c>
      <c r="F121" s="24">
        <v>167273000</v>
      </c>
      <c r="G121" s="24">
        <v>1488872965</v>
      </c>
      <c r="H121" s="24">
        <v>597997602</v>
      </c>
      <c r="I121" s="24">
        <v>119504479</v>
      </c>
      <c r="J121" s="25">
        <v>0.71399999999999997</v>
      </c>
    </row>
    <row r="122" spans="1:10" x14ac:dyDescent="0.45">
      <c r="A122" t="s">
        <v>140</v>
      </c>
      <c r="B122" t="s">
        <v>224</v>
      </c>
      <c r="C122" t="s">
        <v>33</v>
      </c>
      <c r="D122" t="s">
        <v>3</v>
      </c>
      <c r="E122" t="s">
        <v>141</v>
      </c>
      <c r="F122" s="24">
        <v>62727000</v>
      </c>
      <c r="G122">
        <v>0</v>
      </c>
      <c r="H122">
        <v>0</v>
      </c>
      <c r="I122">
        <v>0</v>
      </c>
      <c r="J122" s="25">
        <v>0</v>
      </c>
    </row>
    <row r="123" spans="1:10" x14ac:dyDescent="0.45">
      <c r="A123" t="s">
        <v>140</v>
      </c>
      <c r="B123" t="s">
        <v>5</v>
      </c>
      <c r="C123" t="s">
        <v>143</v>
      </c>
      <c r="D123" t="s">
        <v>13</v>
      </c>
      <c r="E123" t="s">
        <v>299</v>
      </c>
      <c r="F123" s="24">
        <v>6236458</v>
      </c>
      <c r="G123" s="24">
        <v>72415413</v>
      </c>
      <c r="H123" s="24">
        <v>15121359</v>
      </c>
      <c r="I123" s="24">
        <v>3021046</v>
      </c>
      <c r="J123" s="25">
        <v>0.48399999999999999</v>
      </c>
    </row>
    <row r="124" spans="1:10" x14ac:dyDescent="0.45">
      <c r="A124" t="s">
        <v>140</v>
      </c>
      <c r="B124" t="s">
        <v>17</v>
      </c>
      <c r="C124" t="s">
        <v>143</v>
      </c>
      <c r="D124" t="s">
        <v>13</v>
      </c>
      <c r="E124" t="s">
        <v>144</v>
      </c>
      <c r="F124" s="24">
        <v>3832000</v>
      </c>
      <c r="G124" s="24">
        <v>68280134</v>
      </c>
      <c r="H124" s="24">
        <v>3549373</v>
      </c>
      <c r="I124" s="24">
        <v>708458</v>
      </c>
      <c r="J124" s="25">
        <v>0.185</v>
      </c>
    </row>
    <row r="125" spans="1:10" x14ac:dyDescent="0.45">
      <c r="A125" t="s">
        <v>140</v>
      </c>
      <c r="B125" t="s">
        <v>7</v>
      </c>
      <c r="C125" t="s">
        <v>143</v>
      </c>
      <c r="D125" t="s">
        <v>13</v>
      </c>
      <c r="E125" t="s">
        <v>300</v>
      </c>
      <c r="F125" s="24">
        <v>460000000</v>
      </c>
      <c r="G125" s="24">
        <v>1811638771</v>
      </c>
      <c r="H125" s="24">
        <v>72278487</v>
      </c>
      <c r="I125" s="24">
        <v>14447218</v>
      </c>
      <c r="J125" s="25">
        <v>3.1E-2</v>
      </c>
    </row>
    <row r="126" spans="1:10" x14ac:dyDescent="0.45">
      <c r="A126" t="s">
        <v>140</v>
      </c>
      <c r="B126" t="s">
        <v>9</v>
      </c>
      <c r="C126" t="s">
        <v>143</v>
      </c>
      <c r="D126" t="s">
        <v>13</v>
      </c>
      <c r="E126" t="s">
        <v>301</v>
      </c>
      <c r="F126" s="24">
        <v>43000000</v>
      </c>
      <c r="G126">
        <v>0</v>
      </c>
      <c r="H126">
        <v>0</v>
      </c>
      <c r="I126">
        <v>0</v>
      </c>
      <c r="J126" s="25">
        <v>0</v>
      </c>
    </row>
    <row r="127" spans="1:10" x14ac:dyDescent="0.45">
      <c r="A127" t="s">
        <v>140</v>
      </c>
      <c r="B127" t="s">
        <v>11</v>
      </c>
      <c r="C127" t="s">
        <v>143</v>
      </c>
      <c r="D127" t="s">
        <v>13</v>
      </c>
      <c r="E127" t="s">
        <v>302</v>
      </c>
      <c r="F127" s="24">
        <v>169000000</v>
      </c>
      <c r="G127">
        <v>0</v>
      </c>
      <c r="H127" s="24">
        <v>105286344</v>
      </c>
      <c r="I127" s="24">
        <v>21042120</v>
      </c>
      <c r="J127" s="25">
        <v>0.125</v>
      </c>
    </row>
    <row r="128" spans="1:10" x14ac:dyDescent="0.45">
      <c r="A128" t="s">
        <v>140</v>
      </c>
      <c r="B128" t="s">
        <v>58</v>
      </c>
      <c r="C128" t="s">
        <v>143</v>
      </c>
      <c r="D128" t="s">
        <v>13</v>
      </c>
      <c r="E128" t="s">
        <v>303</v>
      </c>
      <c r="F128" s="24">
        <v>80000000</v>
      </c>
      <c r="G128" s="24">
        <v>384857183</v>
      </c>
      <c r="H128" s="24">
        <v>104819002</v>
      </c>
      <c r="I128" s="24">
        <v>20923326</v>
      </c>
      <c r="J128" s="25">
        <v>0.26200000000000001</v>
      </c>
    </row>
    <row r="129" spans="1:10" x14ac:dyDescent="0.45">
      <c r="A129" t="s">
        <v>140</v>
      </c>
      <c r="B129" t="s">
        <v>61</v>
      </c>
      <c r="C129" t="s">
        <v>143</v>
      </c>
      <c r="D129" t="s">
        <v>13</v>
      </c>
      <c r="E129" t="s">
        <v>149</v>
      </c>
      <c r="F129" s="24">
        <v>478500000</v>
      </c>
      <c r="G129" s="24">
        <v>2549734290</v>
      </c>
      <c r="H129" s="24">
        <v>1254627438</v>
      </c>
      <c r="I129" s="24">
        <v>250736143</v>
      </c>
      <c r="J129" s="25">
        <v>0.52400000000000002</v>
      </c>
    </row>
    <row r="130" spans="1:10" x14ac:dyDescent="0.45">
      <c r="A130" t="s">
        <v>140</v>
      </c>
      <c r="B130" t="s">
        <v>304</v>
      </c>
      <c r="C130" t="s">
        <v>143</v>
      </c>
      <c r="D130" t="s">
        <v>13</v>
      </c>
      <c r="E130" t="s">
        <v>150</v>
      </c>
      <c r="F130" s="24">
        <v>209144630</v>
      </c>
      <c r="G130" s="24">
        <v>1988396082</v>
      </c>
      <c r="H130" s="24">
        <v>655991185</v>
      </c>
      <c r="I130" s="24">
        <v>131043470</v>
      </c>
      <c r="J130" s="25">
        <v>0.627</v>
      </c>
    </row>
    <row r="131" spans="1:10" x14ac:dyDescent="0.45">
      <c r="A131" t="s">
        <v>140</v>
      </c>
      <c r="B131" t="s">
        <v>305</v>
      </c>
      <c r="C131" t="s">
        <v>143</v>
      </c>
      <c r="D131" t="s">
        <v>3</v>
      </c>
      <c r="E131" t="s">
        <v>150</v>
      </c>
      <c r="F131" s="24">
        <v>52960909</v>
      </c>
      <c r="G131">
        <v>0</v>
      </c>
      <c r="H131">
        <v>0</v>
      </c>
      <c r="I131">
        <v>0</v>
      </c>
      <c r="J131" s="25">
        <v>0</v>
      </c>
    </row>
    <row r="132" spans="1:10" x14ac:dyDescent="0.45">
      <c r="A132" t="s">
        <v>140</v>
      </c>
      <c r="B132" t="s">
        <v>67</v>
      </c>
      <c r="C132" t="s">
        <v>143</v>
      </c>
      <c r="D132" t="s">
        <v>13</v>
      </c>
      <c r="E132" t="s">
        <v>151</v>
      </c>
      <c r="F132" s="24">
        <v>600000000</v>
      </c>
      <c r="G132" s="24">
        <v>2581913291</v>
      </c>
      <c r="H132" s="24">
        <v>1264649411</v>
      </c>
      <c r="I132" s="24">
        <v>252657953</v>
      </c>
      <c r="J132" s="25">
        <v>0.42099999999999999</v>
      </c>
    </row>
    <row r="133" spans="1:10" x14ac:dyDescent="0.45">
      <c r="A133" t="s">
        <v>140</v>
      </c>
      <c r="B133" t="s">
        <v>71</v>
      </c>
      <c r="C133" t="s">
        <v>143</v>
      </c>
      <c r="D133" t="s">
        <v>3</v>
      </c>
      <c r="E133" t="s">
        <v>306</v>
      </c>
      <c r="F133" s="24">
        <v>9000000</v>
      </c>
      <c r="G133" s="24">
        <v>53543151</v>
      </c>
      <c r="H133" s="24">
        <v>24330106</v>
      </c>
      <c r="I133" s="24">
        <v>4861050</v>
      </c>
      <c r="J133" s="25">
        <v>0.54</v>
      </c>
    </row>
    <row r="134" spans="1:10" x14ac:dyDescent="0.45">
      <c r="A134" t="s">
        <v>140</v>
      </c>
      <c r="B134" t="s">
        <v>73</v>
      </c>
      <c r="C134" t="s">
        <v>143</v>
      </c>
      <c r="D134" t="s">
        <v>13</v>
      </c>
      <c r="E134" t="s">
        <v>307</v>
      </c>
      <c r="F134" s="24">
        <v>50000000</v>
      </c>
      <c r="G134" s="24">
        <v>367177437</v>
      </c>
      <c r="H134" s="24">
        <v>102708434</v>
      </c>
      <c r="I134" s="24">
        <v>20515164</v>
      </c>
      <c r="J134" s="25">
        <v>0.41</v>
      </c>
    </row>
    <row r="135" spans="1:10" x14ac:dyDescent="0.45">
      <c r="A135" t="s">
        <v>140</v>
      </c>
      <c r="B135" t="s">
        <v>77</v>
      </c>
      <c r="C135" t="s">
        <v>143</v>
      </c>
      <c r="D135" t="s">
        <v>13</v>
      </c>
      <c r="E135" t="s">
        <v>308</v>
      </c>
      <c r="F135" s="24">
        <v>234000000</v>
      </c>
      <c r="G135" s="24">
        <v>1038872451</v>
      </c>
      <c r="H135" s="24">
        <v>555587567</v>
      </c>
      <c r="I135" s="24">
        <v>111046712</v>
      </c>
      <c r="J135" s="25">
        <v>0.47499999999999998</v>
      </c>
    </row>
    <row r="136" spans="1:10" x14ac:dyDescent="0.45">
      <c r="A136" t="s">
        <v>140</v>
      </c>
      <c r="B136" t="s">
        <v>79</v>
      </c>
      <c r="C136" t="s">
        <v>143</v>
      </c>
      <c r="D136" t="s">
        <v>3</v>
      </c>
      <c r="E136" t="s">
        <v>309</v>
      </c>
      <c r="F136" s="24">
        <v>135791094</v>
      </c>
      <c r="G136" s="24">
        <v>877738172</v>
      </c>
      <c r="H136" s="24">
        <v>47123367</v>
      </c>
      <c r="I136" s="24">
        <v>9418821</v>
      </c>
      <c r="J136" s="25">
        <v>6.9000000000000006E-2</v>
      </c>
    </row>
    <row r="137" spans="1:10" x14ac:dyDescent="0.45">
      <c r="A137" t="s">
        <v>140</v>
      </c>
      <c r="B137" t="s">
        <v>81</v>
      </c>
      <c r="C137" t="s">
        <v>143</v>
      </c>
      <c r="D137" t="s">
        <v>13</v>
      </c>
      <c r="E137" t="s">
        <v>310</v>
      </c>
      <c r="F137" s="24">
        <v>30720000</v>
      </c>
      <c r="G137" s="24">
        <v>167983291</v>
      </c>
      <c r="H137" s="24">
        <v>329719</v>
      </c>
      <c r="I137" s="24">
        <v>65812</v>
      </c>
      <c r="J137" s="25">
        <v>2E-3</v>
      </c>
    </row>
    <row r="138" spans="1:10" x14ac:dyDescent="0.45">
      <c r="A138" t="s">
        <v>157</v>
      </c>
      <c r="B138" t="s">
        <v>5</v>
      </c>
      <c r="C138" t="s">
        <v>176</v>
      </c>
      <c r="D138" t="s">
        <v>13</v>
      </c>
      <c r="E138" t="s">
        <v>158</v>
      </c>
      <c r="F138" s="24">
        <v>460000000</v>
      </c>
      <c r="G138" s="24">
        <v>2007454233</v>
      </c>
      <c r="H138" s="24">
        <v>363034426</v>
      </c>
      <c r="I138" s="24">
        <v>72507432</v>
      </c>
      <c r="J138" s="25">
        <v>0.158</v>
      </c>
    </row>
    <row r="139" spans="1:10" x14ac:dyDescent="0.45">
      <c r="A139" t="s">
        <v>157</v>
      </c>
      <c r="B139" t="s">
        <v>311</v>
      </c>
      <c r="C139" t="s">
        <v>63</v>
      </c>
      <c r="D139" t="s">
        <v>13</v>
      </c>
      <c r="E139" t="s">
        <v>312</v>
      </c>
      <c r="F139" s="24">
        <v>305381134</v>
      </c>
      <c r="G139" s="24">
        <v>345973232</v>
      </c>
      <c r="H139" s="24">
        <v>248830</v>
      </c>
      <c r="I139" s="24">
        <v>49667</v>
      </c>
      <c r="J139" s="25">
        <v>0</v>
      </c>
    </row>
    <row r="140" spans="1:10" x14ac:dyDescent="0.45">
      <c r="A140" t="s">
        <v>157</v>
      </c>
      <c r="B140" t="s">
        <v>236</v>
      </c>
      <c r="C140" t="s">
        <v>63</v>
      </c>
      <c r="D140" t="s">
        <v>3</v>
      </c>
      <c r="E140" t="s">
        <v>312</v>
      </c>
      <c r="F140" s="24">
        <v>305381134</v>
      </c>
      <c r="G140">
        <v>0</v>
      </c>
      <c r="H140">
        <v>0</v>
      </c>
      <c r="I140">
        <v>0</v>
      </c>
      <c r="J140" s="25">
        <v>0</v>
      </c>
    </row>
    <row r="141" spans="1:10" x14ac:dyDescent="0.45">
      <c r="A141" t="s">
        <v>157</v>
      </c>
      <c r="B141" t="s">
        <v>313</v>
      </c>
      <c r="C141" t="s">
        <v>161</v>
      </c>
      <c r="D141" t="s">
        <v>13</v>
      </c>
      <c r="E141" t="s">
        <v>314</v>
      </c>
      <c r="F141" s="24">
        <v>29557000</v>
      </c>
      <c r="G141" s="24">
        <v>281186000</v>
      </c>
      <c r="H141" s="24">
        <v>58702239</v>
      </c>
      <c r="I141" s="24">
        <v>11717014</v>
      </c>
      <c r="J141" s="25">
        <v>0.39600000000000002</v>
      </c>
    </row>
    <row r="142" spans="1:10" x14ac:dyDescent="0.45">
      <c r="A142" t="s">
        <v>157</v>
      </c>
      <c r="B142" t="s">
        <v>315</v>
      </c>
      <c r="C142" t="s">
        <v>161</v>
      </c>
      <c r="D142" t="s">
        <v>13</v>
      </c>
      <c r="E142" t="s">
        <v>316</v>
      </c>
      <c r="F142" s="24">
        <v>13791327</v>
      </c>
      <c r="G142">
        <v>0</v>
      </c>
      <c r="H142">
        <v>0</v>
      </c>
      <c r="I142">
        <v>0</v>
      </c>
      <c r="J142" s="25">
        <v>0</v>
      </c>
    </row>
    <row r="143" spans="1:10" x14ac:dyDescent="0.45">
      <c r="A143" t="s">
        <v>157</v>
      </c>
      <c r="B143" t="s">
        <v>317</v>
      </c>
      <c r="C143" t="s">
        <v>161</v>
      </c>
      <c r="D143" t="s">
        <v>13</v>
      </c>
      <c r="E143" t="s">
        <v>318</v>
      </c>
      <c r="F143" s="24">
        <v>8440200</v>
      </c>
      <c r="G143">
        <v>0</v>
      </c>
      <c r="H143">
        <v>0</v>
      </c>
      <c r="I143">
        <v>0</v>
      </c>
      <c r="J143" s="25">
        <v>0</v>
      </c>
    </row>
    <row r="144" spans="1:10" x14ac:dyDescent="0.45">
      <c r="A144" t="s">
        <v>157</v>
      </c>
      <c r="B144" t="s">
        <v>55</v>
      </c>
      <c r="C144" t="s">
        <v>63</v>
      </c>
      <c r="D144" t="s">
        <v>13</v>
      </c>
      <c r="E144" t="s">
        <v>319</v>
      </c>
      <c r="F144" s="24">
        <v>269690200</v>
      </c>
      <c r="G144" s="24">
        <v>38904336</v>
      </c>
      <c r="H144" s="24">
        <v>1538475</v>
      </c>
      <c r="I144" s="24">
        <v>307081</v>
      </c>
      <c r="J144" s="25">
        <v>1E-3</v>
      </c>
    </row>
    <row r="145" spans="1:10" x14ac:dyDescent="0.45">
      <c r="A145" t="s">
        <v>157</v>
      </c>
      <c r="B145" t="s">
        <v>58</v>
      </c>
      <c r="C145" t="s">
        <v>176</v>
      </c>
      <c r="D145" t="s">
        <v>13</v>
      </c>
      <c r="E145" t="s">
        <v>166</v>
      </c>
      <c r="F145" s="24">
        <v>350519607</v>
      </c>
      <c r="G145">
        <v>0</v>
      </c>
      <c r="H145">
        <v>0</v>
      </c>
      <c r="I145">
        <v>0</v>
      </c>
      <c r="J145" s="25">
        <v>0</v>
      </c>
    </row>
    <row r="146" spans="1:10" x14ac:dyDescent="0.45">
      <c r="A146" t="s">
        <v>157</v>
      </c>
      <c r="B146" t="s">
        <v>169</v>
      </c>
      <c r="C146" t="s">
        <v>201</v>
      </c>
      <c r="D146" t="s">
        <v>13</v>
      </c>
      <c r="E146" t="s">
        <v>200</v>
      </c>
      <c r="F146" s="24">
        <v>3011752</v>
      </c>
      <c r="G146">
        <v>0</v>
      </c>
      <c r="H146">
        <v>0</v>
      </c>
      <c r="I146">
        <v>0</v>
      </c>
      <c r="J146" s="25">
        <v>0</v>
      </c>
    </row>
    <row r="147" spans="1:10" x14ac:dyDescent="0.45">
      <c r="A147" t="s">
        <v>157</v>
      </c>
      <c r="B147" t="s">
        <v>167</v>
      </c>
      <c r="C147" t="s">
        <v>33</v>
      </c>
      <c r="D147" t="s">
        <v>13</v>
      </c>
      <c r="E147" t="s">
        <v>202</v>
      </c>
      <c r="F147" s="24">
        <v>431438</v>
      </c>
      <c r="G147">
        <v>0</v>
      </c>
      <c r="H147">
        <v>0</v>
      </c>
      <c r="I147">
        <v>0</v>
      </c>
      <c r="J147" s="25">
        <v>0</v>
      </c>
    </row>
    <row r="148" spans="1:10" x14ac:dyDescent="0.45">
      <c r="F148" s="24">
        <f>SUM(F2:F147)</f>
        <v>21409459031</v>
      </c>
    </row>
    <row r="149" spans="1:10" x14ac:dyDescent="0.45">
      <c r="F149" s="24">
        <f>SUMIF(C2:C147,"MC",F2:F147)</f>
        <v>33000000</v>
      </c>
    </row>
    <row r="150" spans="1:10" x14ac:dyDescent="0.45">
      <c r="F150" s="24">
        <f>SUMIF(A3:A148,"C11",F3:F148)</f>
        <v>190616081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97CDE-AF1A-4A5C-802C-B78BEB977127}">
  <dimension ref="A1:E18"/>
  <sheetViews>
    <sheetView tabSelected="1" workbookViewId="0">
      <selection sqref="A1:E18"/>
    </sheetView>
  </sheetViews>
  <sheetFormatPr defaultRowHeight="14.25" x14ac:dyDescent="0.45"/>
  <cols>
    <col min="2" max="2" width="31.265625" customWidth="1"/>
    <col min="3" max="3" width="17.06640625" customWidth="1"/>
    <col min="4" max="4" width="14.19921875" customWidth="1"/>
    <col min="5" max="5" width="12.46484375" customWidth="1"/>
  </cols>
  <sheetData>
    <row r="1" spans="1:5" x14ac:dyDescent="0.45">
      <c r="C1" s="26" t="s">
        <v>341</v>
      </c>
      <c r="D1" s="26" t="s">
        <v>342</v>
      </c>
      <c r="E1" s="26" t="s">
        <v>343</v>
      </c>
    </row>
    <row r="2" spans="1:5" x14ac:dyDescent="0.45">
      <c r="A2" t="s">
        <v>0</v>
      </c>
      <c r="B2" t="s">
        <v>325</v>
      </c>
      <c r="C2" s="23">
        <v>463.55</v>
      </c>
      <c r="D2" s="23">
        <f>SUMIF(BUGET_PNRR_20251006!B2:B147,A2,BUGET_PNRR_20251006!H2:H147)/1000000</f>
        <v>403.316982</v>
      </c>
      <c r="E2" s="23">
        <f>C2-D2</f>
        <v>60.233018000000015</v>
      </c>
    </row>
    <row r="3" spans="1:5" x14ac:dyDescent="0.45">
      <c r="A3" t="s">
        <v>14</v>
      </c>
      <c r="B3" t="s">
        <v>326</v>
      </c>
      <c r="C3" s="23">
        <v>381.29</v>
      </c>
      <c r="D3" s="23">
        <f>SUMIF(BUGET_PNRR_20251006!B3:B148,A3,BUGET_PNRR_20251006!H3:H148)/1000000</f>
        <v>395.548498</v>
      </c>
      <c r="E3" s="23">
        <f t="shared" ref="E3:E18" si="0">C3-D3</f>
        <v>-14.258497999999975</v>
      </c>
    </row>
    <row r="4" spans="1:5" x14ac:dyDescent="0.45">
      <c r="A4" t="s">
        <v>21</v>
      </c>
      <c r="B4" t="s">
        <v>327</v>
      </c>
      <c r="C4" s="23">
        <v>428.76</v>
      </c>
      <c r="D4" s="23">
        <f>SUMIF(BUGET_PNRR_20251006!B4:B149,A4,BUGET_PNRR_20251006!H4:H149)/1000000</f>
        <v>468.94689499999998</v>
      </c>
      <c r="E4" s="23">
        <f t="shared" si="0"/>
        <v>-40.186894999999993</v>
      </c>
    </row>
    <row r="5" spans="1:5" x14ac:dyDescent="0.45">
      <c r="A5" t="s">
        <v>25</v>
      </c>
      <c r="B5" t="s">
        <v>328</v>
      </c>
      <c r="C5" s="23">
        <v>2682.24</v>
      </c>
      <c r="D5" s="23">
        <f>SUMIF(BUGET_PNRR_20251006!B5:B150,A5,BUGET_PNRR_20251006!H5:H150)/1000000</f>
        <v>5452.2276000000002</v>
      </c>
      <c r="E5" s="23">
        <f t="shared" si="0"/>
        <v>-2769.9876000000004</v>
      </c>
    </row>
    <row r="6" spans="1:5" x14ac:dyDescent="0.45">
      <c r="A6" t="s">
        <v>31</v>
      </c>
      <c r="B6" t="s">
        <v>329</v>
      </c>
      <c r="C6" s="23">
        <v>3340.03</v>
      </c>
      <c r="D6" s="23">
        <f>SUMIF(BUGET_PNRR_20251006!B6:B151,A6,BUGET_PNRR_20251006!H6:H151)/1000000</f>
        <v>1933.4027149999999</v>
      </c>
      <c r="E6" s="23">
        <f t="shared" si="0"/>
        <v>1406.6272850000003</v>
      </c>
    </row>
    <row r="7" spans="1:5" x14ac:dyDescent="0.45">
      <c r="A7" t="s">
        <v>37</v>
      </c>
      <c r="B7" t="s">
        <v>330</v>
      </c>
      <c r="C7" s="23">
        <v>2102.41</v>
      </c>
      <c r="D7" s="23">
        <f>SUMIF(BUGET_PNRR_20251006!B7:B152,A7,BUGET_PNRR_20251006!H7:H152)/1000000</f>
        <v>367.87774300000001</v>
      </c>
      <c r="E7" s="23">
        <f t="shared" si="0"/>
        <v>1734.5322569999998</v>
      </c>
    </row>
    <row r="8" spans="1:5" x14ac:dyDescent="0.45">
      <c r="A8" t="s">
        <v>42</v>
      </c>
      <c r="B8" t="s">
        <v>331</v>
      </c>
      <c r="C8" s="23">
        <v>2069.3000000000002</v>
      </c>
      <c r="D8" s="23">
        <f>SUMIF(BUGET_PNRR_20251006!B8:B153,A8,BUGET_PNRR_20251006!H8:H153)/1000000</f>
        <v>1739.439337</v>
      </c>
      <c r="E8" s="23">
        <f t="shared" si="0"/>
        <v>329.86066300000016</v>
      </c>
    </row>
    <row r="9" spans="1:5" x14ac:dyDescent="0.45">
      <c r="A9" t="s">
        <v>85</v>
      </c>
      <c r="B9" t="s">
        <v>332</v>
      </c>
      <c r="C9" s="23">
        <v>949.92</v>
      </c>
      <c r="D9" s="23">
        <f>SUMIF(BUGET_PNRR_20251006!B9:B154,A9,BUGET_PNRR_20251006!H9:H154)/1000000</f>
        <v>556.93251499999997</v>
      </c>
      <c r="E9" s="23">
        <f t="shared" si="0"/>
        <v>392.98748499999999</v>
      </c>
    </row>
    <row r="10" spans="1:5" x14ac:dyDescent="0.45">
      <c r="A10" t="s">
        <v>98</v>
      </c>
      <c r="B10" t="s">
        <v>333</v>
      </c>
      <c r="C10" s="23">
        <v>1467.98</v>
      </c>
      <c r="D10" s="23">
        <f>SUMIF(BUGET_PNRR_20251006!B10:B155,A10,BUGET_PNRR_20251006!H10:H155)/1000000</f>
        <v>2129.4271699999999</v>
      </c>
      <c r="E10" s="23">
        <f t="shared" si="0"/>
        <v>-661.44716999999991</v>
      </c>
    </row>
    <row r="11" spans="1:5" x14ac:dyDescent="0.45">
      <c r="A11" t="s">
        <v>109</v>
      </c>
      <c r="B11" t="s">
        <v>334</v>
      </c>
      <c r="C11" s="23">
        <v>882.1</v>
      </c>
      <c r="D11" s="23">
        <f>SUMIF(BUGET_PNRR_20251006!B11:B156,A11,BUGET_PNRR_20251006!H11:H156)/1000000</f>
        <v>1649.538789</v>
      </c>
      <c r="E11" s="23">
        <f t="shared" si="0"/>
        <v>-767.43878899999993</v>
      </c>
    </row>
    <row r="12" spans="1:5" x14ac:dyDescent="0.45">
      <c r="A12" t="s">
        <v>114</v>
      </c>
      <c r="B12" t="s">
        <v>335</v>
      </c>
      <c r="C12" s="23">
        <v>2181.84</v>
      </c>
      <c r="D12" s="23">
        <f>SUMIF(BUGET_PNRR_20251006!B12:B157,A12,BUGET_PNRR_20251006!H12:H157)/1000000</f>
        <v>190.61608100000001</v>
      </c>
      <c r="E12" s="23">
        <f t="shared" si="0"/>
        <v>1991.223919</v>
      </c>
    </row>
    <row r="13" spans="1:5" x14ac:dyDescent="0.45">
      <c r="A13" t="s">
        <v>122</v>
      </c>
      <c r="B13" t="s">
        <v>336</v>
      </c>
      <c r="C13" s="23">
        <v>785.32</v>
      </c>
      <c r="D13" s="23">
        <f>SUMIF(BUGET_PNRR_20251006!B13:B158,A13,BUGET_PNRR_20251006!H13:H158)/1000000</f>
        <v>1337.316611</v>
      </c>
      <c r="E13" s="23">
        <f t="shared" si="0"/>
        <v>-551.99661099999992</v>
      </c>
    </row>
    <row r="14" spans="1:5" x14ac:dyDescent="0.45">
      <c r="A14" t="s">
        <v>133</v>
      </c>
      <c r="B14" t="s">
        <v>337</v>
      </c>
      <c r="C14" s="23">
        <v>1143.4000000000001</v>
      </c>
      <c r="D14" s="23">
        <f>SUMIF(BUGET_PNRR_20251006!B14:B159,A14,BUGET_PNRR_20251006!H14:H159)/1000000</f>
        <v>169.09821199999999</v>
      </c>
      <c r="E14" s="23">
        <f t="shared" si="0"/>
        <v>974.3017880000001</v>
      </c>
    </row>
    <row r="15" spans="1:5" x14ac:dyDescent="0.45">
      <c r="A15" t="s">
        <v>138</v>
      </c>
      <c r="B15" t="s">
        <v>338</v>
      </c>
      <c r="C15" s="23">
        <v>988.24</v>
      </c>
      <c r="D15" s="23">
        <f>SUMIF(BUGET_PNRR_20251006!B15:B160,A15,BUGET_PNRR_20251006!H15:H160)/1000000</f>
        <v>77.381</v>
      </c>
      <c r="E15" s="23">
        <f t="shared" si="0"/>
        <v>910.85900000000004</v>
      </c>
    </row>
    <row r="16" spans="1:5" x14ac:dyDescent="0.45">
      <c r="A16" t="s">
        <v>140</v>
      </c>
      <c r="B16" t="s">
        <v>339</v>
      </c>
      <c r="C16" s="23">
        <v>1295.07</v>
      </c>
      <c r="D16" s="23">
        <f>SUMIF(BUGET_PNRR_20251006!B16:B161,A16,BUGET_PNRR_20251006!H16:H161)/1000000</f>
        <v>2792.1850909999998</v>
      </c>
      <c r="E16" s="23">
        <f t="shared" si="0"/>
        <v>-1497.1150909999999</v>
      </c>
    </row>
    <row r="17" spans="1:5" x14ac:dyDescent="0.45">
      <c r="A17" t="s">
        <v>157</v>
      </c>
      <c r="B17" t="s">
        <v>340</v>
      </c>
      <c r="C17" s="23">
        <v>248.1</v>
      </c>
      <c r="D17" s="23">
        <f>SUMIF(BUGET_PNRR_20251006!B17:B162,A17,BUGET_PNRR_20251006!H17:H162)/1000000</f>
        <v>1746.203792</v>
      </c>
      <c r="E17" s="23">
        <f t="shared" si="0"/>
        <v>-1498.1037920000001</v>
      </c>
    </row>
    <row r="18" spans="1:5" x14ac:dyDescent="0.45">
      <c r="C18" s="23">
        <f>SUM(C2:C17)</f>
        <v>21409.55</v>
      </c>
      <c r="D18" s="23">
        <f>SUM(D2:D17)</f>
        <v>21409.459031000002</v>
      </c>
      <c r="E18" s="23">
        <f t="shared" si="0"/>
        <v>9.0968999997130595E-2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3</vt:i4>
      </vt:variant>
    </vt:vector>
  </HeadingPairs>
  <TitlesOfParts>
    <vt:vector size="3" baseType="lpstr">
      <vt:lpstr>BUGET_PNRR_20251006</vt:lpstr>
      <vt:lpstr>StatusPNRR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Sorin BUDA</dc:creator>
  <cp:lastModifiedBy>Sorin BUDA</cp:lastModifiedBy>
  <dcterms:created xsi:type="dcterms:W3CDTF">2025-09-29T17:26:40Z</dcterms:created>
  <dcterms:modified xsi:type="dcterms:W3CDTF">2025-10-20T13:23:37Z</dcterms:modified>
</cp:coreProperties>
</file>